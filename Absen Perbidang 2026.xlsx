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af9958cdadebcc/Documents/"/>
    </mc:Choice>
  </mc:AlternateContent>
  <xr:revisionPtr revIDLastSave="1" documentId="8_{1036159D-124C-4669-8CF3-5C3981AF65E7}" xr6:coauthVersionLast="47" xr6:coauthVersionMax="47" xr10:uidLastSave="{73D9D623-B318-41F3-B13B-340C29BBCA65}"/>
  <bookViews>
    <workbookView xWindow="-120" yWindow="-120" windowWidth="38640" windowHeight="21120" xr2:uid="{7BBFB9F2-D059-49B7-8F4C-EE856225B16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E171" i="1"/>
  <c r="B171" i="1"/>
  <c r="E162" i="1"/>
  <c r="D162" i="1"/>
  <c r="B162" i="1"/>
  <c r="E161" i="1"/>
  <c r="D161" i="1"/>
  <c r="B161" i="1"/>
  <c r="E160" i="1"/>
  <c r="D160" i="1"/>
  <c r="B160" i="1"/>
  <c r="A160" i="1"/>
  <c r="A161" i="1" s="1"/>
  <c r="A162" i="1" s="1"/>
  <c r="E159" i="1"/>
  <c r="D159" i="1"/>
  <c r="B159" i="1"/>
  <c r="E158" i="1"/>
  <c r="D158" i="1"/>
  <c r="B158" i="1"/>
  <c r="E157" i="1"/>
  <c r="D157" i="1"/>
  <c r="B157" i="1"/>
  <c r="E156" i="1"/>
  <c r="D156" i="1"/>
  <c r="B156" i="1"/>
  <c r="E155" i="1"/>
  <c r="D155" i="1"/>
  <c r="B155" i="1"/>
  <c r="E154" i="1"/>
  <c r="D154" i="1"/>
  <c r="B154" i="1"/>
  <c r="E153" i="1"/>
  <c r="D153" i="1"/>
  <c r="B153" i="1"/>
  <c r="E152" i="1"/>
  <c r="D152" i="1"/>
  <c r="B152" i="1"/>
  <c r="E151" i="1"/>
  <c r="D151" i="1"/>
  <c r="B151" i="1"/>
  <c r="E150" i="1"/>
  <c r="D150" i="1"/>
  <c r="B150" i="1"/>
  <c r="E149" i="1"/>
  <c r="D149" i="1"/>
  <c r="B149" i="1"/>
  <c r="E148" i="1"/>
  <c r="D148" i="1"/>
  <c r="B148" i="1"/>
  <c r="E147" i="1"/>
  <c r="D147" i="1"/>
  <c r="B147" i="1"/>
  <c r="E146" i="1"/>
  <c r="D146" i="1"/>
  <c r="B146" i="1"/>
  <c r="A146" i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E145" i="1"/>
  <c r="D145" i="1"/>
  <c r="B145" i="1"/>
  <c r="E144" i="1"/>
  <c r="D144" i="1"/>
  <c r="B144" i="1"/>
  <c r="E143" i="1"/>
  <c r="D143" i="1"/>
  <c r="B143" i="1"/>
  <c r="E142" i="1"/>
  <c r="D142" i="1"/>
  <c r="B142" i="1"/>
  <c r="E138" i="1"/>
  <c r="D138" i="1"/>
  <c r="B138" i="1"/>
  <c r="A138" i="1"/>
  <c r="A142" i="1" s="1"/>
  <c r="A143" i="1" s="1"/>
  <c r="A144" i="1" s="1"/>
  <c r="E137" i="1"/>
  <c r="D137" i="1"/>
  <c r="B137" i="1"/>
  <c r="E136" i="1"/>
  <c r="D136" i="1"/>
  <c r="B136" i="1"/>
  <c r="E135" i="1"/>
  <c r="D135" i="1"/>
  <c r="B135" i="1"/>
  <c r="A135" i="1"/>
  <c r="A136" i="1" s="1"/>
  <c r="E134" i="1"/>
  <c r="D134" i="1"/>
  <c r="B134" i="1"/>
  <c r="E133" i="1"/>
  <c r="D133" i="1"/>
  <c r="B133" i="1"/>
  <c r="E132" i="1"/>
  <c r="D132" i="1"/>
  <c r="B132" i="1"/>
  <c r="A132" i="1"/>
  <c r="A133" i="1" s="1"/>
  <c r="E131" i="1"/>
  <c r="D131" i="1"/>
  <c r="B131" i="1"/>
  <c r="E130" i="1"/>
  <c r="D130" i="1"/>
  <c r="B130" i="1"/>
  <c r="E129" i="1"/>
  <c r="D129" i="1"/>
  <c r="B129" i="1"/>
  <c r="A129" i="1"/>
  <c r="A130" i="1" s="1"/>
  <c r="E128" i="1"/>
  <c r="D128" i="1"/>
  <c r="B128" i="1"/>
  <c r="E127" i="1"/>
  <c r="D127" i="1"/>
  <c r="B127" i="1"/>
  <c r="E126" i="1"/>
  <c r="D126" i="1"/>
  <c r="B126" i="1"/>
  <c r="A126" i="1"/>
  <c r="A127" i="1" s="1"/>
  <c r="E125" i="1"/>
  <c r="D125" i="1"/>
  <c r="B125" i="1"/>
  <c r="E124" i="1"/>
  <c r="D124" i="1"/>
  <c r="B124" i="1"/>
  <c r="E123" i="1"/>
  <c r="D123" i="1"/>
  <c r="B123" i="1"/>
  <c r="A123" i="1"/>
  <c r="A124" i="1" s="1"/>
  <c r="E122" i="1"/>
  <c r="D122" i="1"/>
  <c r="B122" i="1"/>
  <c r="E121" i="1"/>
  <c r="D121" i="1"/>
  <c r="B121" i="1"/>
  <c r="E120" i="1"/>
  <c r="D120" i="1"/>
  <c r="B120" i="1"/>
  <c r="A120" i="1"/>
  <c r="A121" i="1" s="1"/>
  <c r="E119" i="1"/>
  <c r="D119" i="1"/>
  <c r="B119" i="1"/>
  <c r="E118" i="1"/>
  <c r="D118" i="1"/>
  <c r="B118" i="1"/>
  <c r="E117" i="1"/>
  <c r="D117" i="1"/>
  <c r="B117" i="1"/>
  <c r="A117" i="1"/>
  <c r="A118" i="1" s="1"/>
  <c r="E116" i="1"/>
  <c r="D116" i="1"/>
  <c r="B116" i="1"/>
  <c r="E115" i="1"/>
  <c r="D115" i="1"/>
  <c r="B115" i="1"/>
  <c r="E114" i="1"/>
  <c r="D114" i="1"/>
  <c r="B114" i="1"/>
  <c r="A114" i="1"/>
  <c r="A115" i="1" s="1"/>
  <c r="E113" i="1"/>
  <c r="D113" i="1"/>
  <c r="B113" i="1"/>
  <c r="E112" i="1"/>
  <c r="D112" i="1"/>
  <c r="B112" i="1"/>
  <c r="E111" i="1"/>
  <c r="D111" i="1"/>
  <c r="B111" i="1"/>
  <c r="A111" i="1"/>
  <c r="A112" i="1" s="1"/>
  <c r="E110" i="1"/>
  <c r="D110" i="1"/>
  <c r="B110" i="1"/>
  <c r="E109" i="1"/>
  <c r="D109" i="1"/>
  <c r="B109" i="1"/>
  <c r="E108" i="1"/>
  <c r="D108" i="1"/>
  <c r="B108" i="1"/>
  <c r="A108" i="1"/>
  <c r="A109" i="1" s="1"/>
  <c r="E107" i="1"/>
  <c r="D107" i="1"/>
  <c r="B107" i="1"/>
  <c r="E106" i="1"/>
  <c r="D106" i="1"/>
  <c r="B106" i="1"/>
  <c r="E105" i="1"/>
  <c r="D105" i="1"/>
  <c r="B105" i="1"/>
  <c r="A105" i="1"/>
  <c r="A106" i="1" s="1"/>
  <c r="E104" i="1"/>
  <c r="D104" i="1"/>
  <c r="B104" i="1"/>
  <c r="E97" i="1"/>
  <c r="D97" i="1"/>
  <c r="B97" i="1"/>
  <c r="E96" i="1"/>
  <c r="D96" i="1"/>
  <c r="B96" i="1"/>
  <c r="E95" i="1"/>
  <c r="D95" i="1"/>
  <c r="B95" i="1"/>
  <c r="E94" i="1"/>
  <c r="D94" i="1"/>
  <c r="B94" i="1"/>
  <c r="E93" i="1"/>
  <c r="D93" i="1"/>
  <c r="B93" i="1"/>
  <c r="E92" i="1"/>
  <c r="D92" i="1"/>
  <c r="B92" i="1"/>
  <c r="E91" i="1"/>
  <c r="D91" i="1"/>
  <c r="B91" i="1"/>
  <c r="E90" i="1"/>
  <c r="D90" i="1"/>
  <c r="B90" i="1"/>
  <c r="E89" i="1"/>
  <c r="D89" i="1"/>
  <c r="B89" i="1"/>
  <c r="E88" i="1"/>
  <c r="D88" i="1"/>
  <c r="B88" i="1"/>
  <c r="E87" i="1"/>
  <c r="D87" i="1"/>
  <c r="B87" i="1"/>
  <c r="E86" i="1"/>
  <c r="D86" i="1"/>
  <c r="B86" i="1"/>
  <c r="E85" i="1"/>
  <c r="D85" i="1"/>
  <c r="B85" i="1"/>
  <c r="E84" i="1"/>
  <c r="D84" i="1"/>
  <c r="B84" i="1"/>
  <c r="E83" i="1"/>
  <c r="D83" i="1"/>
  <c r="B83" i="1"/>
  <c r="E82" i="1"/>
  <c r="D82" i="1"/>
  <c r="B82" i="1"/>
  <c r="E77" i="1"/>
  <c r="D77" i="1"/>
  <c r="B77" i="1"/>
  <c r="E76" i="1"/>
  <c r="D76" i="1"/>
  <c r="B76" i="1"/>
  <c r="E75" i="1"/>
  <c r="D75" i="1"/>
  <c r="B75" i="1"/>
  <c r="E74" i="1"/>
  <c r="D74" i="1"/>
  <c r="B74" i="1"/>
  <c r="E73" i="1"/>
  <c r="D73" i="1"/>
  <c r="B73" i="1"/>
  <c r="E72" i="1"/>
  <c r="D72" i="1"/>
  <c r="B72" i="1"/>
  <c r="E71" i="1"/>
  <c r="D71" i="1"/>
  <c r="B71" i="1"/>
  <c r="E70" i="1"/>
  <c r="D70" i="1"/>
  <c r="B70" i="1"/>
  <c r="E69" i="1"/>
  <c r="D69" i="1"/>
  <c r="B69" i="1"/>
  <c r="E68" i="1"/>
  <c r="D68" i="1"/>
  <c r="B68" i="1"/>
  <c r="E67" i="1"/>
  <c r="D67" i="1"/>
  <c r="B67" i="1"/>
  <c r="E66" i="1"/>
  <c r="D66" i="1"/>
  <c r="B66" i="1"/>
  <c r="E65" i="1"/>
  <c r="D65" i="1"/>
  <c r="B65" i="1"/>
  <c r="E64" i="1"/>
  <c r="D64" i="1"/>
  <c r="B64" i="1"/>
  <c r="E63" i="1"/>
  <c r="D63" i="1"/>
  <c r="B63" i="1"/>
  <c r="E62" i="1"/>
  <c r="D62" i="1"/>
  <c r="B62" i="1"/>
  <c r="E61" i="1"/>
  <c r="D61" i="1"/>
  <c r="B61" i="1"/>
  <c r="E60" i="1"/>
  <c r="D60" i="1"/>
  <c r="B60" i="1"/>
  <c r="E59" i="1"/>
  <c r="D59" i="1"/>
  <c r="B59" i="1"/>
  <c r="E58" i="1"/>
  <c r="D58" i="1"/>
  <c r="B58" i="1"/>
  <c r="E57" i="1"/>
  <c r="D57" i="1"/>
  <c r="B57" i="1"/>
  <c r="E56" i="1"/>
  <c r="D56" i="1"/>
  <c r="B56" i="1"/>
  <c r="E55" i="1"/>
  <c r="D55" i="1"/>
  <c r="B55" i="1"/>
  <c r="E54" i="1"/>
  <c r="D54" i="1"/>
  <c r="B54" i="1"/>
  <c r="E53" i="1"/>
  <c r="D53" i="1"/>
  <c r="B53" i="1"/>
  <c r="E52" i="1"/>
  <c r="D52" i="1"/>
  <c r="B52" i="1"/>
  <c r="E51" i="1"/>
  <c r="D51" i="1"/>
  <c r="B51" i="1"/>
  <c r="E50" i="1"/>
  <c r="D50" i="1"/>
  <c r="B50" i="1"/>
  <c r="E49" i="1"/>
  <c r="D49" i="1"/>
  <c r="B49" i="1"/>
  <c r="E48" i="1"/>
  <c r="D48" i="1"/>
  <c r="B48" i="1"/>
  <c r="E47" i="1"/>
  <c r="D47" i="1"/>
  <c r="B47" i="1"/>
  <c r="E35" i="1"/>
  <c r="D35" i="1"/>
  <c r="B35" i="1"/>
  <c r="E34" i="1"/>
  <c r="D34" i="1"/>
  <c r="B34" i="1"/>
  <c r="E33" i="1"/>
  <c r="D33" i="1"/>
  <c r="B33" i="1"/>
  <c r="E32" i="1"/>
  <c r="D32" i="1"/>
  <c r="B32" i="1"/>
  <c r="E31" i="1"/>
  <c r="D31" i="1"/>
  <c r="B31" i="1"/>
  <c r="E30" i="1"/>
  <c r="D30" i="1"/>
  <c r="B30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6" i="1"/>
  <c r="D16" i="1"/>
  <c r="B16" i="1"/>
  <c r="E15" i="1"/>
  <c r="D15" i="1"/>
  <c r="B15" i="1"/>
  <c r="E14" i="1"/>
  <c r="D14" i="1"/>
  <c r="B14" i="1"/>
  <c r="E169" i="1" s="1"/>
  <c r="E13" i="1"/>
  <c r="D13" i="1"/>
  <c r="B13" i="1"/>
  <c r="B169" i="1" s="1"/>
  <c r="E170" i="1" l="1"/>
  <c r="B170" i="1"/>
</calcChain>
</file>

<file path=xl/sharedStrings.xml><?xml version="1.0" encoding="utf-8"?>
<sst xmlns="http://schemas.openxmlformats.org/spreadsheetml/2006/main" count="170" uniqueCount="142">
  <si>
    <t xml:space="preserve">Absen Apel </t>
  </si>
  <si>
    <t>Hari/Tanggal:</t>
  </si>
  <si>
    <t>SEKRETARIAT</t>
  </si>
  <si>
    <t>NO</t>
  </si>
  <si>
    <t>NAMA</t>
  </si>
  <si>
    <t>NIP</t>
  </si>
  <si>
    <t>PANGKAT/GOL</t>
  </si>
  <si>
    <t>JABATAN</t>
  </si>
  <si>
    <t>PARAF</t>
  </si>
  <si>
    <t>KET</t>
  </si>
  <si>
    <t>19740109 199311 1 002</t>
  </si>
  <si>
    <t>KEPALA BADAN</t>
  </si>
  <si>
    <t>19681210 200605 1 001</t>
  </si>
  <si>
    <t>SEKRETARIS</t>
  </si>
  <si>
    <t>19831005 201001 2 036</t>
  </si>
  <si>
    <t>19970419 201808 1 001</t>
  </si>
  <si>
    <t>19780801 201104 2 001</t>
  </si>
  <si>
    <t>19960817 202010 1 002</t>
  </si>
  <si>
    <t>19810530 201001 1 024</t>
  </si>
  <si>
    <t>19950415 201705 2 001</t>
  </si>
  <si>
    <t>19951122 202010 1 001</t>
  </si>
  <si>
    <t>19980523 202208 2 001</t>
  </si>
  <si>
    <t>19930324 202307 2 001</t>
  </si>
  <si>
    <t>19790909 201601 1 001</t>
  </si>
  <si>
    <t>19830906 201505 2 001</t>
  </si>
  <si>
    <t>19821202 201505 2 001</t>
  </si>
  <si>
    <t>19940417 202521 2 159</t>
  </si>
  <si>
    <t>19881114 202521 2 089</t>
  </si>
  <si>
    <t>19760809 202521 1 052</t>
  </si>
  <si>
    <t>19940428 202521 2 165</t>
  </si>
  <si>
    <t>19990729 202521 2 107</t>
  </si>
  <si>
    <t>19820307 202521 2 070</t>
  </si>
  <si>
    <t>19841014 202521 2 063</t>
  </si>
  <si>
    <t>19810203 202321 1 012</t>
  </si>
  <si>
    <t>199508 20202521 1 116</t>
  </si>
  <si>
    <t>BIDANG PAJAK</t>
  </si>
  <si>
    <t>19770412 200904 1 002</t>
  </si>
  <si>
    <t>19770806 200605 1 001</t>
  </si>
  <si>
    <t>19900801 202010 1 001</t>
  </si>
  <si>
    <t>19780615 201104 1 002</t>
  </si>
  <si>
    <t>19810124 201601 1 001</t>
  </si>
  <si>
    <t>19770411 201601 1 001</t>
  </si>
  <si>
    <t>19800509 201505 2 001</t>
  </si>
  <si>
    <t>19870217 202010 1 001</t>
  </si>
  <si>
    <t>19860413 201601 2 001</t>
  </si>
  <si>
    <t>19800421 200904 1 006</t>
  </si>
  <si>
    <t>19880731 201505 1 002</t>
  </si>
  <si>
    <t>19801209 201412 1 001</t>
  </si>
  <si>
    <t>19890409 202307 1 001</t>
  </si>
  <si>
    <t>19830716 201001 1 020</t>
  </si>
  <si>
    <t>19930416 202307 1 001</t>
  </si>
  <si>
    <t>19860714 201104 1 001</t>
  </si>
  <si>
    <t>19940326 202010 1 001</t>
  </si>
  <si>
    <t>19920522 202506 1 008</t>
  </si>
  <si>
    <t>20010424 202506 2 016</t>
  </si>
  <si>
    <t>19891026 202521 1 123</t>
  </si>
  <si>
    <t>19890821 202521 2 120</t>
  </si>
  <si>
    <t>19860525 202521 1 205</t>
  </si>
  <si>
    <t>19950516 202521 2 190</t>
  </si>
  <si>
    <t>19890705 202521 2 187</t>
  </si>
  <si>
    <t>19910920 202521 2 139</t>
  </si>
  <si>
    <t>19740628 202521 1 039</t>
  </si>
  <si>
    <t>19840217 202521 1 083</t>
  </si>
  <si>
    <t>19930518 202521 2 143</t>
  </si>
  <si>
    <t>19950213 202521 1 115</t>
  </si>
  <si>
    <t>19760918 202521 1 045</t>
  </si>
  <si>
    <t>2002122 5202521 1 009</t>
  </si>
  <si>
    <t>BIDANG PERENCANAAN DAN PENGEMBANGAN PENDAPATAN DAERAH</t>
  </si>
  <si>
    <t>19750415 200502 2 003</t>
  </si>
  <si>
    <t>19690528 200112 2 002</t>
  </si>
  <si>
    <t>19770106 200605 2 003</t>
  </si>
  <si>
    <t>19751108 200904 2 003</t>
  </si>
  <si>
    <t>19721212 200605 2 002</t>
  </si>
  <si>
    <t>19810208 201004 2 001</t>
  </si>
  <si>
    <t>19770507 201510 2 001</t>
  </si>
  <si>
    <t>19910326 201104 2 001</t>
  </si>
  <si>
    <t>19810927 201510 2 001</t>
  </si>
  <si>
    <t>20000211 202506 2 016</t>
  </si>
  <si>
    <t>19920108 202506 2 002</t>
  </si>
  <si>
    <t>19830205 202321 1 017</t>
  </si>
  <si>
    <t>19890513 202521 1 158</t>
  </si>
  <si>
    <t>19921203 202521 1 093</t>
  </si>
  <si>
    <t>19940714 202521 1 123</t>
  </si>
  <si>
    <t>19920208 202521 1 163</t>
  </si>
  <si>
    <t>BIDANG PBBP2 DAN BPHTB</t>
  </si>
  <si>
    <t>19790920 200909 1 001</t>
  </si>
  <si>
    <t>19780921 200605 1 003</t>
  </si>
  <si>
    <t>19771022 201001 1 008</t>
  </si>
  <si>
    <t>19841215 201510 2 001</t>
  </si>
  <si>
    <t>19890202 202010 2 001</t>
  </si>
  <si>
    <t>19791011 200801 2 019</t>
  </si>
  <si>
    <t>19920501 202010 1 001</t>
  </si>
  <si>
    <t>19840819 201104 1 001</t>
  </si>
  <si>
    <t>19880623 201505 2 002</t>
  </si>
  <si>
    <t>19770505 201601 1 001</t>
  </si>
  <si>
    <t>19810714 200801 1 008</t>
  </si>
  <si>
    <t>19940615 201705 1 001</t>
  </si>
  <si>
    <t>19910204 201505 2 001</t>
  </si>
  <si>
    <t>19830717 201001 1 043</t>
  </si>
  <si>
    <t>19780408 200112 1 003</t>
  </si>
  <si>
    <t>19810909 201510 1 001</t>
  </si>
  <si>
    <t>19890909 202307 1 001</t>
  </si>
  <si>
    <t>19920308 202307 2 001</t>
  </si>
  <si>
    <t>19910611 202307 2 001</t>
  </si>
  <si>
    <t>19900714 202307 1 001</t>
  </si>
  <si>
    <t>19901010 202506 2 006</t>
  </si>
  <si>
    <t>19911016 202521 1 134</t>
  </si>
  <si>
    <t>19810429 202521 2 052</t>
  </si>
  <si>
    <t>19940818 202521 1 135</t>
  </si>
  <si>
    <t>19760806 202521 1 082</t>
  </si>
  <si>
    <t>19950612 202521 1 129</t>
  </si>
  <si>
    <t>19930927 202521 1 139</t>
  </si>
  <si>
    <t>19961111 202521 2 187</t>
  </si>
  <si>
    <t>19820421 202521 2 092</t>
  </si>
  <si>
    <t>19761014 202521 1 058</t>
  </si>
  <si>
    <t>19850528 202521 1 093</t>
  </si>
  <si>
    <t>19870729 202521 1 147</t>
  </si>
  <si>
    <t>19841222 202521 1 105</t>
  </si>
  <si>
    <t>19960811 202521 2 091</t>
  </si>
  <si>
    <t>19970125 202521 1 076</t>
  </si>
  <si>
    <t>BIDANG PEMBUKUAN DAN PELAPORAN</t>
  </si>
  <si>
    <t>19700411 200112 2 002</t>
  </si>
  <si>
    <t>19700731 199603 1 002</t>
  </si>
  <si>
    <t>19830720 201505 1 002</t>
  </si>
  <si>
    <t>19741017 201001 1 004</t>
  </si>
  <si>
    <t>19740105 200701 1 025</t>
  </si>
  <si>
    <t>19790610 200502 2 005</t>
  </si>
  <si>
    <t>19691012 200904 1 001</t>
  </si>
  <si>
    <t>19760220 200701 2 021</t>
  </si>
  <si>
    <t>19870207 202010 2 002</t>
  </si>
  <si>
    <t>19931204 202010 1 001</t>
  </si>
  <si>
    <t>19761116 200212 2 008</t>
  </si>
  <si>
    <t>19750128 201405 2 002</t>
  </si>
  <si>
    <t>19730615 201601 2 001</t>
  </si>
  <si>
    <t>19800716 201510 1 001</t>
  </si>
  <si>
    <t>19980920 202506 2 017</t>
  </si>
  <si>
    <t>19940405 202521 2 200</t>
  </si>
  <si>
    <t>19870415 202521 1 146</t>
  </si>
  <si>
    <t>19910515 202521 2 232</t>
  </si>
  <si>
    <t>19750529 202321 1 002</t>
  </si>
  <si>
    <t>19811023 202521 1 089</t>
  </si>
  <si>
    <t>19910101 202521 1 436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</si>
</sst>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dd\,\ dd\ mmmm\ yyyy"/>
    <numFmt numFmtId="165" formatCode="[$-F800]dddd\,\ mmmm\ dd\,\ 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8" fillId="3" borderId="4" xfId="0" quotePrefix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7" fillId="0" borderId="4" xfId="0" quotePrefix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498099</xdr:colOff>
      <xdr:row>1</xdr:row>
      <xdr:rowOff>11766</xdr:rowOff>
    </xdr:from>
    <xdr:to>
      <xdr:col>5</xdr:col>
      <xdr:colOff>214089</xdr:colOff>
      <xdr:row>6</xdr:row>
      <xdr:rowOff>101414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389B6-CF44-4BD4-851F-A74B3470E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246"/>
        <a:stretch>
          <a:fillRect/>
        </a:stretch>
      </xdr:blipFill>
      <xdr:spPr>
        <a:xfrm>
          <a:off x="869574" y="202266"/>
          <a:ext cx="7288365" cy="10421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\NOMINATIF\FOLDER%20ABSEN%20DAN%20NOMINATIF.xlsx" TargetMode="External"/><Relationship Id="rId1" Type="http://schemas.openxmlformats.org/officeDocument/2006/relationships/externalLinkPath" Target="file:///D:\2026\NOMINATIF\FOLDER%20ABSEN%20DAN%20NOMINATI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sen"/>
      <sheetName val="NOMINATIF"/>
      <sheetName val="MONITOR KGB DAN PANGKAT"/>
      <sheetName val="TINGKAT PENDIDIKAN &amp; PELATIHAN"/>
      <sheetName val="MKS, MKG DAN SISA MASA KERJA "/>
      <sheetName val="JUMLA SESUAI PENDIDIKAN &amp; GOL"/>
      <sheetName val="Data Pensiun"/>
      <sheetName val="NIK PEGAWAI"/>
      <sheetName val="NOF TGL TERAKHIR 27 MARET 2026"/>
      <sheetName val="Sheet3"/>
      <sheetName val="draff"/>
      <sheetName val="Sheet14"/>
    </sheetNames>
    <sheetDataSet>
      <sheetData sheetId="0"/>
      <sheetData sheetId="1">
        <row r="7">
          <cell r="B7" t="str">
            <v>19740109 199311 1 002</v>
          </cell>
          <cell r="C7" t="str">
            <v>Dr.Drs. DWI CHOLIFAH, Ap., M.Si</v>
          </cell>
          <cell r="D7" t="str">
            <v>Pembina Utama Muda (IV/c)</v>
          </cell>
          <cell r="E7">
            <v>45017</v>
          </cell>
          <cell r="F7" t="str">
            <v>KEPALA BADAN</v>
          </cell>
        </row>
        <row r="8">
          <cell r="B8" t="str">
            <v>19681210 200605 1 001</v>
          </cell>
          <cell r="C8" t="str">
            <v>HENRIKUS SETITIT, S.Sos., M.Si</v>
          </cell>
          <cell r="D8" t="str">
            <v>Pembina (IV/a)</v>
          </cell>
          <cell r="E8">
            <v>44652</v>
          </cell>
          <cell r="F8" t="str">
            <v xml:space="preserve">SEKRETARIS </v>
          </cell>
        </row>
        <row r="9">
          <cell r="B9" t="str">
            <v>19750415 200502 2 003</v>
          </cell>
          <cell r="C9" t="str">
            <v>RINA WASAREAH, S.E, M.Si</v>
          </cell>
          <cell r="D9" t="str">
            <v>Pembina (IV/a)</v>
          </cell>
          <cell r="E9">
            <v>43191</v>
          </cell>
          <cell r="F9" t="str">
            <v>KEPALA BIDANG PERENCANAAN DAN PENGEMBANGAN PENDAPATAN DAERAH</v>
          </cell>
        </row>
        <row r="10">
          <cell r="B10" t="str">
            <v>19790920 200909 1 001</v>
          </cell>
          <cell r="C10" t="str">
            <v>RUSDIGAMA R.BAHARUDDIN, S.E., M,Si</v>
          </cell>
          <cell r="D10" t="str">
            <v>Pembina (IV/a)</v>
          </cell>
          <cell r="E10">
            <v>45931</v>
          </cell>
          <cell r="F10" t="str">
            <v>PLT. KEPLA BIDANG PBB DAN BPHTB</v>
          </cell>
        </row>
        <row r="11">
          <cell r="B11" t="str">
            <v>19690528 200112 2 002</v>
          </cell>
          <cell r="C11" t="str">
            <v>LENORA SOOR, S.Sos., M.Si</v>
          </cell>
          <cell r="D11" t="str">
            <v>Pembina (IV/a)</v>
          </cell>
          <cell r="E11">
            <v>45383</v>
          </cell>
          <cell r="F11" t="str">
            <v>KEPALA SUB BIDANG RETRIBUSI DAN EVALUASI PENDAPATAN DAERAH</v>
          </cell>
        </row>
        <row r="12">
          <cell r="B12" t="str">
            <v>19770106 200605 2 003</v>
          </cell>
          <cell r="C12" t="str">
            <v>ERNA IBRAHIM, S.Sos., M.M</v>
          </cell>
          <cell r="D12" t="str">
            <v>Pembina (IV/a)</v>
          </cell>
          <cell r="E12">
            <v>45931</v>
          </cell>
          <cell r="F12" t="str">
            <v>KEPALA SUB BIDANG PENGEMBANGAN SISTEM INFORMATIKA DAN INOVASI PENDAPATAN DAERAH</v>
          </cell>
        </row>
        <row r="13">
          <cell r="B13" t="str">
            <v>19721212 200605 2 002</v>
          </cell>
          <cell r="C13" t="str">
            <v>MARINI TOPANG, S.Sos, M.AP</v>
          </cell>
          <cell r="D13" t="str">
            <v>Pembina (IV/a)</v>
          </cell>
          <cell r="E13">
            <v>43739</v>
          </cell>
          <cell r="F13" t="str">
            <v>PELAKSANA SUB BIDANG REGULASI PENDAPATAN DAERAH</v>
          </cell>
        </row>
        <row r="14">
          <cell r="B14" t="str">
            <v>19810208 201004 2 001</v>
          </cell>
          <cell r="C14" t="str">
            <v>AYU ULFAH PURBA, S.E., M.Si</v>
          </cell>
          <cell r="D14" t="str">
            <v>Pembina (IV/a)</v>
          </cell>
          <cell r="E14">
            <v>45931</v>
          </cell>
          <cell r="F14" t="str">
            <v>PELAKSANA SUB BIDANG REGULASI PENDAPATAN DAERAH</v>
          </cell>
        </row>
        <row r="15">
          <cell r="B15" t="str">
            <v>19700731 199603 1 002</v>
          </cell>
          <cell r="C15" t="str">
            <v>SELSIUS  GINUNY, A.Md. S.Sos.</v>
          </cell>
          <cell r="D15" t="str">
            <v>Penata Tingkat I (III/d)</v>
          </cell>
          <cell r="E15">
            <v>44652</v>
          </cell>
          <cell r="F15" t="str">
            <v>KEPALA SUB BIDANG PENAGIHAN</v>
          </cell>
        </row>
        <row r="16">
          <cell r="B16" t="str">
            <v>19700411 200112 2 002</v>
          </cell>
          <cell r="C16" t="str">
            <v>LUCIA BENEDICTA REYAAN, S.IP</v>
          </cell>
          <cell r="D16" t="str">
            <v>Penata Tingkat I (III/d)</v>
          </cell>
          <cell r="E16">
            <v>41913</v>
          </cell>
          <cell r="F16" t="str">
            <v>KEPALA BIDANG PEMBUKUAN DAN PELAPORAN</v>
          </cell>
        </row>
        <row r="17">
          <cell r="B17" t="str">
            <v>19770806 200605 1 001</v>
          </cell>
          <cell r="C17" t="str">
            <v>MUCH. AGUS SOFYAN, S.E</v>
          </cell>
          <cell r="D17" t="str">
            <v>Penata Tingkat I (III/d)</v>
          </cell>
          <cell r="E17">
            <v>43556</v>
          </cell>
          <cell r="F17" t="str">
            <v>KEPALA SUB BIDANG PENDATAAN DAN PENDAFTARAN</v>
          </cell>
        </row>
        <row r="18">
          <cell r="B18" t="str">
            <v>19770412 200904 1 002</v>
          </cell>
          <cell r="C18" t="str">
            <v>MELIANUS SELITUBUN, S.E., M.Si</v>
          </cell>
          <cell r="D18" t="str">
            <v>Penata Tingkat I (III/d)</v>
          </cell>
          <cell r="E18">
            <v>44835</v>
          </cell>
          <cell r="F18" t="str">
            <v>KEPALA BIDANG PAJAK</v>
          </cell>
        </row>
        <row r="19">
          <cell r="B19" t="str">
            <v>19751108 200904 2 003</v>
          </cell>
          <cell r="C19" t="str">
            <v>ICE SILOLONGAN, S.E., M.Si</v>
          </cell>
          <cell r="D19" t="str">
            <v>Penata Tingkat I (III/d)</v>
          </cell>
          <cell r="E19">
            <v>45017</v>
          </cell>
          <cell r="F19" t="str">
            <v>KEPALA SUB BIDANG REGULASI PENDAPATAN DAERAH</v>
          </cell>
        </row>
        <row r="20">
          <cell r="B20" t="str">
            <v>19780921 200605 1 003</v>
          </cell>
          <cell r="C20" t="str">
            <v>AWALUDDIN NUR, S.E</v>
          </cell>
          <cell r="D20" t="str">
            <v>Penata Tingkat I (III/d)</v>
          </cell>
          <cell r="E20">
            <v>45200</v>
          </cell>
          <cell r="F20" t="str">
            <v>KEPALA SUB BIDANG PENAGIHAN RESTITUSI PBB DAN BPHTB</v>
          </cell>
        </row>
        <row r="21">
          <cell r="B21" t="str">
            <v>19831005 201001 2 036</v>
          </cell>
          <cell r="C21" t="str">
            <v>OCTHAVIANI HELENA .S. HALLEY, S.E., M.Si</v>
          </cell>
          <cell r="D21" t="str">
            <v>Penata Tingkat I (III/d)</v>
          </cell>
          <cell r="E21">
            <v>45931</v>
          </cell>
          <cell r="F21" t="str">
            <v>KEPALA SUB BAGIAN UMUM DAN KEPEGAWAIAN</v>
          </cell>
        </row>
        <row r="22">
          <cell r="B22" t="str">
            <v>19830720 201505 1 002</v>
          </cell>
          <cell r="C22" t="str">
            <v>CAHYO WULANG, S.Kom.,M.Si</v>
          </cell>
          <cell r="D22" t="str">
            <v>Penata Tingkat I (III/d)</v>
          </cell>
          <cell r="E22">
            <v>45931</v>
          </cell>
          <cell r="F22" t="str">
            <v>KEPALA SUB BIDANG PEMERIKSAAN DAN VERIFIKASI</v>
          </cell>
        </row>
        <row r="23">
          <cell r="B23" t="str">
            <v>19740105 200701 1 025</v>
          </cell>
          <cell r="C23" t="str">
            <v>HABEL NGARE, S.E</v>
          </cell>
          <cell r="D23" t="str">
            <v>Penata Tingkat I (III/d)</v>
          </cell>
          <cell r="E23">
            <v>44835</v>
          </cell>
          <cell r="F23" t="str">
            <v>PELAKSANA SUB BIDANG PENAGIHAN</v>
          </cell>
        </row>
        <row r="24">
          <cell r="B24" t="str">
            <v>19741017 201001 1 004</v>
          </cell>
          <cell r="C24" t="str">
            <v>ROMI PESIRERON, S.E.,M.M</v>
          </cell>
          <cell r="D24" t="str">
            <v>Penata Tingkat I (III/d)</v>
          </cell>
          <cell r="E24">
            <v>45200</v>
          </cell>
          <cell r="F24" t="str">
            <v>PELAKSANA SUB BIDANG PENAGIHAN</v>
          </cell>
        </row>
        <row r="25">
          <cell r="B25" t="str">
            <v>19780615 201104 1 002</v>
          </cell>
          <cell r="C25" t="str">
            <v>YOPPY KEMONG, S.H</v>
          </cell>
          <cell r="D25" t="str">
            <v>Penata (III/c)</v>
          </cell>
          <cell r="E25">
            <v>45017</v>
          </cell>
          <cell r="F25" t="str">
            <v>Plt. KEPALA SUB BIDANG PERHITUNGAN DAN PENETAPAN PAJAK DAERAH</v>
          </cell>
        </row>
        <row r="26">
          <cell r="B26" t="str">
            <v>19771022 201001 1 008</v>
          </cell>
          <cell r="C26" t="str">
            <v>JONATHAN B. TABERIMA, S.E</v>
          </cell>
          <cell r="D26" t="str">
            <v>Penata (III/c)</v>
          </cell>
          <cell r="E26">
            <v>45200</v>
          </cell>
          <cell r="F26" t="str">
            <v>KEPALA SUB BIDANG PENDATAAN DAN PENDAFTRAN PBB DAN BPHTB</v>
          </cell>
        </row>
        <row r="27">
          <cell r="B27" t="str">
            <v>19970419 201808 1 001</v>
          </cell>
          <cell r="C27" t="str">
            <v>M.IDIL ILHAM, S.STP</v>
          </cell>
          <cell r="D27" t="str">
            <v>Penata (III/c)</v>
          </cell>
          <cell r="E27">
            <v>45748</v>
          </cell>
          <cell r="F27" t="str">
            <v>KEPALA SUB BAGIAN PROGRAM</v>
          </cell>
        </row>
        <row r="28">
          <cell r="B28" t="str">
            <v>19790610 200502 2 005</v>
          </cell>
          <cell r="C28" t="str">
            <v>ZARAI  GWIJANGGE, A.Md</v>
          </cell>
          <cell r="D28" t="str">
            <v>Penata (III/c)</v>
          </cell>
          <cell r="E28">
            <v>45017</v>
          </cell>
          <cell r="F28" t="str">
            <v>PELAKSANA SUB BIDANG PEMBUKUAN DAN PELAPORAN</v>
          </cell>
        </row>
        <row r="29">
          <cell r="B29" t="str">
            <v>19900801 202010 1 001</v>
          </cell>
          <cell r="C29" t="str">
            <v>AGUS RONAL AMOS UAMANG, S.H</v>
          </cell>
          <cell r="D29" t="str">
            <v>Penata Muda Tingkat I (III/b)</v>
          </cell>
          <cell r="E29">
            <v>45627</v>
          </cell>
          <cell r="F29" t="str">
            <v>Plt. KEPALA SUB BIDANG PEMERIKSA PAJAK, KONSULTASI, KEBERATAN DAN BANDING</v>
          </cell>
        </row>
        <row r="30">
          <cell r="B30" t="str">
            <v>19810124 201601 1 001</v>
          </cell>
          <cell r="C30" t="str">
            <v>JONDRY UKRU, S.E.,M.Si</v>
          </cell>
          <cell r="D30" t="str">
            <v>Penata Muda Tingkat I (III/b)</v>
          </cell>
          <cell r="E30">
            <v>45383</v>
          </cell>
          <cell r="F30" t="str">
            <v>PELAKSANA SUB BIDANG PEMERIKSA PAJAK, KONSULTASI, KEBERATAN DAN BANDING</v>
          </cell>
        </row>
        <row r="31">
          <cell r="B31" t="str">
            <v>19770411 201601 1 001</v>
          </cell>
          <cell r="C31" t="str">
            <v>ADRIANUS R. DETTU, S.E</v>
          </cell>
          <cell r="D31" t="str">
            <v>Penata Muda Tingkat I (III/b)</v>
          </cell>
          <cell r="E31">
            <v>45383</v>
          </cell>
          <cell r="F31" t="str">
            <v>PELAKSANA SUB BIDANG PERHITUNGAN DAN PENETAPAN PAJAK DAERAH</v>
          </cell>
        </row>
        <row r="32">
          <cell r="B32" t="str">
            <v>19760220 200701 2 021</v>
          </cell>
          <cell r="C32" t="str">
            <v>HERNIA SANGNGIAN, S.E</v>
          </cell>
          <cell r="D32" t="str">
            <v>Penata Muda Tingkat I (III/b)</v>
          </cell>
          <cell r="E32">
            <v>44652</v>
          </cell>
          <cell r="F32" t="str">
            <v>PELAKSANA SUB BIDANG PENAGIHAN</v>
          </cell>
        </row>
        <row r="33">
          <cell r="B33" t="str">
            <v>19691012 200904 1 001</v>
          </cell>
          <cell r="C33" t="str">
            <v>GERSON KEMESFLE,S.E</v>
          </cell>
          <cell r="D33" t="str">
            <v>Penata Muda Tingkat I (III/b)</v>
          </cell>
          <cell r="E33">
            <v>44652</v>
          </cell>
          <cell r="F33" t="str">
            <v>PELAKSANA SUB BIDANG PENAGIHAN</v>
          </cell>
        </row>
        <row r="34">
          <cell r="B34" t="str">
            <v>19791011 200801 2 019</v>
          </cell>
          <cell r="C34" t="str">
            <v>IRAWATY, S.E</v>
          </cell>
          <cell r="D34" t="str">
            <v>Penata (III/c)</v>
          </cell>
          <cell r="E34">
            <v>44652</v>
          </cell>
          <cell r="F34" t="str">
            <v>PELAKSANA SUB BIDANG PENAGIHAN RESTITUSI PBB DAN BPHTB</v>
          </cell>
        </row>
        <row r="35">
          <cell r="B35" t="str">
            <v>19780801 201104 2 001</v>
          </cell>
          <cell r="C35" t="str">
            <v>PHILOTILA MOPORTEYAU, A.Md</v>
          </cell>
          <cell r="D35" t="str">
            <v>Penata Muda Tingkat I (III/b)</v>
          </cell>
          <cell r="E35">
            <v>45017</v>
          </cell>
          <cell r="F35" t="str">
            <v>PELAKSANA SUB BAGIAN KEPEGAWAIAN</v>
          </cell>
        </row>
        <row r="36">
          <cell r="B36" t="str">
            <v>19910326 201104 2 001</v>
          </cell>
          <cell r="C36" t="str">
            <v>HERLIN MARSELLA RUMERE, S.A.P</v>
          </cell>
          <cell r="D36" t="str">
            <v>Penata Muda Tingkat I (III/b)</v>
          </cell>
          <cell r="E36">
            <v>45383</v>
          </cell>
          <cell r="F36" t="str">
            <v>PELAKSANA SUB BIDANG RETRIBUSI DAN EVALUASI PENDAPATAN DAERAH</v>
          </cell>
        </row>
        <row r="37">
          <cell r="B37" t="str">
            <v>19841215 201510 2 001</v>
          </cell>
          <cell r="C37" t="str">
            <v>LADY IRAWATY KAEMONG, S.E,. M.Si</v>
          </cell>
          <cell r="D37" t="str">
            <v>Penata Muda Tingkat I (III/b)</v>
          </cell>
          <cell r="E37">
            <v>45200</v>
          </cell>
          <cell r="F37" t="str">
            <v>PELAKSANA SUB BIDANG PENILAIAN DAN PENETAPAN PBB DAN BPHTB</v>
          </cell>
        </row>
        <row r="38">
          <cell r="B38" t="str">
            <v>19770507 201510 2 001</v>
          </cell>
          <cell r="C38" t="str">
            <v>MEITY, S.E,. M.Si</v>
          </cell>
          <cell r="D38" t="str">
            <v>Penata Muda Tingkat I (III/b)</v>
          </cell>
          <cell r="E38">
            <v>45200</v>
          </cell>
          <cell r="F38" t="str">
            <v>PELAKSANA SUB BIDANG RETRIBUSI DAN EVALUASI PENDAPATAN DAERAH</v>
          </cell>
        </row>
        <row r="39">
          <cell r="B39" t="str">
            <v>19860413 201601 2 001</v>
          </cell>
          <cell r="C39" t="str">
            <v>RIA APRILIA M. HUSNI, S.E</v>
          </cell>
          <cell r="D39" t="str">
            <v>Penata Muda Tingkat I (III/b)</v>
          </cell>
          <cell r="E39">
            <v>45383</v>
          </cell>
          <cell r="F39" t="str">
            <v>PELAKSANA SUB BIDANG PENDATAAN DAN PENDAFTARAN PAJAK</v>
          </cell>
        </row>
        <row r="40">
          <cell r="B40" t="str">
            <v>19800509 201505 2 001</v>
          </cell>
          <cell r="C40" t="str">
            <v>RISMA PRIANTI SERTI, S.Kom,. M.Si</v>
          </cell>
          <cell r="D40" t="str">
            <v>Penata Muda Tingkat I (III/b)</v>
          </cell>
          <cell r="E40">
            <v>45627</v>
          </cell>
          <cell r="F40" t="str">
            <v>PELAKSANA SUB BIDANG  PENDATAAN DAN PENDAFTARAN PAJAK</v>
          </cell>
        </row>
        <row r="41">
          <cell r="B41" t="str">
            <v>19931204 202010 1 001</v>
          </cell>
          <cell r="C41" t="str">
            <v>ARISMAN DEMIANUS KARETH, S.E</v>
          </cell>
          <cell r="D41" t="str">
            <v>Penata Muda Tingkat I (III/b)</v>
          </cell>
          <cell r="E41">
            <v>45627</v>
          </cell>
          <cell r="F41" t="str">
            <v>PELAKSANA SUB BIDANG PENAGIHAN</v>
          </cell>
        </row>
        <row r="42">
          <cell r="B42" t="str">
            <v>19890202 202010 2 001</v>
          </cell>
          <cell r="C42" t="str">
            <v>STEFIE LYDIA URSIA, S.E</v>
          </cell>
          <cell r="D42" t="str">
            <v>Penata Muda Tingkat I (III/b)</v>
          </cell>
          <cell r="E42">
            <v>45627</v>
          </cell>
          <cell r="F42" t="str">
            <v>PELAKSANA SUB BIDANG PENILAIAN DAN PENETAPAN PBB DAN BPHTB</v>
          </cell>
        </row>
        <row r="43">
          <cell r="B43" t="str">
            <v>19960817 202010 1 002</v>
          </cell>
          <cell r="C43" t="str">
            <v>AGUSTINUS ANSANAY, S.H</v>
          </cell>
          <cell r="D43" t="str">
            <v>Penata Muda Tingkat I (III/b)</v>
          </cell>
          <cell r="E43">
            <v>45627</v>
          </cell>
          <cell r="F43" t="str">
            <v>PELAKSANA SUB BAGIAN PROGRAM</v>
          </cell>
        </row>
        <row r="44">
          <cell r="B44" t="str">
            <v>19920501 202010 1 001</v>
          </cell>
          <cell r="C44" t="str">
            <v>MARLON BESRON SESA, S.H</v>
          </cell>
          <cell r="D44" t="str">
            <v>Penata Muda Tingkat I (III/b)</v>
          </cell>
          <cell r="E44">
            <v>45627</v>
          </cell>
          <cell r="F44" t="str">
            <v>PELAKSANA SUB BIDANG PENILAIAN DAN PENETAPAN PBB DAN BPHTB</v>
          </cell>
        </row>
        <row r="45">
          <cell r="B45" t="str">
            <v>19870207 202010 2 002</v>
          </cell>
          <cell r="C45" t="str">
            <v>MARIOLIN WORABAY, S.E</v>
          </cell>
          <cell r="D45" t="str">
            <v>Penata Muda Tingkat I (III/b)</v>
          </cell>
          <cell r="E45">
            <v>45627</v>
          </cell>
          <cell r="F45" t="str">
            <v>PELAKSANA SUB BIDANG PEMBUKUAN DAN PELAPORAN</v>
          </cell>
        </row>
        <row r="46">
          <cell r="B46" t="str">
            <v>19870217 202010 1 001</v>
          </cell>
          <cell r="C46" t="str">
            <v>PENEGI DOLAME, S.E,. M.Si</v>
          </cell>
          <cell r="D46" t="str">
            <v>Penata Muda Tingkat I (III/b)</v>
          </cell>
          <cell r="E46">
            <v>45627</v>
          </cell>
          <cell r="F46" t="str">
            <v>PELAKSANA SUB BIDANG PENDATAAN DAN PENDAFTARAN PAJAK</v>
          </cell>
        </row>
        <row r="47">
          <cell r="B47" t="str">
            <v>19980523 202208 2 001</v>
          </cell>
          <cell r="C47" t="str">
            <v>MELISA MARLIN MARANDOF, S.Tr.IP</v>
          </cell>
          <cell r="D47" t="str">
            <v>Penata Muda (III/a)</v>
          </cell>
          <cell r="E47">
            <v>44774</v>
          </cell>
          <cell r="F47" t="str">
            <v>PELAKSANA SUB BAGIAN KEUANGAN</v>
          </cell>
        </row>
        <row r="48">
          <cell r="B48" t="str">
            <v>19761116 200212 2 008</v>
          </cell>
          <cell r="C48" t="str">
            <v>TRI SULISTIARINI BANA, S.E</v>
          </cell>
          <cell r="D48" t="str">
            <v>Penata Muda (III/a)</v>
          </cell>
          <cell r="E48">
            <v>44835</v>
          </cell>
          <cell r="F48" t="str">
            <v>PELAKSANA SUB BIDANG PEMBUKUAN DAN PELAPORAN</v>
          </cell>
        </row>
        <row r="49">
          <cell r="B49" t="str">
            <v>19910204 201505 2 001</v>
          </cell>
          <cell r="C49" t="str">
            <v>YOANE VIANNEY, S.E</v>
          </cell>
          <cell r="D49" t="str">
            <v>Penata Muda (III/a)</v>
          </cell>
          <cell r="E49">
            <v>45017</v>
          </cell>
          <cell r="F49" t="str">
            <v>PELAKSANA SUB BIDANG PENILAIAN DAN PENETAPAN PBB DAN BPHTB</v>
          </cell>
        </row>
        <row r="50">
          <cell r="B50" t="str">
            <v>19950415 201705 2 001</v>
          </cell>
          <cell r="C50" t="str">
            <v>DINA VICA MARANI, S.E</v>
          </cell>
          <cell r="D50" t="str">
            <v>Penata Muda (III/a)</v>
          </cell>
          <cell r="E50">
            <v>45017</v>
          </cell>
          <cell r="F50" t="str">
            <v xml:space="preserve">BENDAHARA PENGELUARAN </v>
          </cell>
        </row>
        <row r="51">
          <cell r="B51" t="str">
            <v>19940326 202010 1 001</v>
          </cell>
          <cell r="C51" t="str">
            <v>PISON B. MOM. S.Kom</v>
          </cell>
          <cell r="D51" t="str">
            <v>Penata Muda (III/a)</v>
          </cell>
          <cell r="E51">
            <v>44105</v>
          </cell>
          <cell r="F51" t="str">
            <v>PRANATA KOMPUTER AHLI PERTAMA</v>
          </cell>
        </row>
        <row r="52">
          <cell r="B52" t="str">
            <v>19951122 202010 1 001</v>
          </cell>
          <cell r="C52" t="str">
            <v>YOHANES R. KELVIN DARU, S.Kom</v>
          </cell>
          <cell r="D52" t="str">
            <v>Penata Muda (III/a)</v>
          </cell>
          <cell r="E52">
            <v>44105</v>
          </cell>
          <cell r="F52" t="str">
            <v>PRANATA KOMPUTER AHLI PERTAMA</v>
          </cell>
        </row>
        <row r="53">
          <cell r="B53" t="str">
            <v>19810530 201001 1 024</v>
          </cell>
          <cell r="C53" t="str">
            <v>SAMAAR PATTIPI, S.E</v>
          </cell>
          <cell r="D53" t="str">
            <v>Penata Muda (III/a)</v>
          </cell>
          <cell r="E53">
            <v>45383</v>
          </cell>
          <cell r="F53" t="str">
            <v>PELAKSANA SUB BAGIAN KEUANGAN</v>
          </cell>
        </row>
        <row r="54">
          <cell r="B54" t="str">
            <v>19800421 200904 1 006</v>
          </cell>
          <cell r="C54" t="str">
            <v>HERRY H. TIMANG, S.E</v>
          </cell>
          <cell r="D54" t="str">
            <v>Penata Muda (III/a)</v>
          </cell>
          <cell r="E54">
            <v>45323</v>
          </cell>
          <cell r="F54" t="str">
            <v>PELAKSANA SUB BIDANG PEMERIKSA PAJAK, KONSULTASI KEBERATAN DAN BANDING</v>
          </cell>
        </row>
        <row r="55">
          <cell r="B55" t="str">
            <v>19840819 201104 1 001</v>
          </cell>
          <cell r="C55" t="str">
            <v>YULIANUS BAERA, S.E</v>
          </cell>
          <cell r="D55" t="str">
            <v>Penata Muda (III/a)</v>
          </cell>
          <cell r="E55">
            <v>45323</v>
          </cell>
          <cell r="F55" t="str">
            <v>PELAKSANA SUB BIDANG PENAGIHAN RESTITUSI PBB DAN BPHTB</v>
          </cell>
        </row>
        <row r="56">
          <cell r="B56" t="str">
            <v>19860714 201104 1 001</v>
          </cell>
          <cell r="C56" t="str">
            <v>ELVIS YULIANTO ELMAS, S.E</v>
          </cell>
          <cell r="D56" t="str">
            <v>Penata Muda (III/a)</v>
          </cell>
          <cell r="E56">
            <v>45323</v>
          </cell>
          <cell r="F56" t="str">
            <v>PELAKSANA SUB BIDANG PERHITUNGAN DAN PENETAPAN PAJAK DAERAH</v>
          </cell>
        </row>
        <row r="57">
          <cell r="B57" t="str">
            <v>19750128 201405 2 002</v>
          </cell>
          <cell r="C57" t="str">
            <v>MINCE KETERINA RITIAUW, S.E</v>
          </cell>
          <cell r="D57" t="str">
            <v>Penata Muda (III/a)</v>
          </cell>
          <cell r="E57">
            <v>45323</v>
          </cell>
          <cell r="F57" t="str">
            <v xml:space="preserve">PELAKSANA SUB BIDANG PEMBUKUAN DAN PELAPORAN </v>
          </cell>
        </row>
        <row r="58">
          <cell r="B58" t="str">
            <v>19880623 201505 2 002</v>
          </cell>
          <cell r="C58" t="str">
            <v>TINIKE BEATRIX WAY, S.E</v>
          </cell>
          <cell r="D58" t="str">
            <v>Penata Muda (III/a)</v>
          </cell>
          <cell r="E58">
            <v>45323</v>
          </cell>
          <cell r="F58" t="str">
            <v>PELAKSANA SUB BIDANG PENAGIHAN RETITUSI PBB DAN BPHTB</v>
          </cell>
        </row>
        <row r="59">
          <cell r="B59" t="str">
            <v>19810927 201510 2 001</v>
          </cell>
          <cell r="C59" t="str">
            <v>EKA SARI DEWI. S, S.E</v>
          </cell>
          <cell r="D59" t="str">
            <v>Penata Muda (III/a)</v>
          </cell>
          <cell r="E59">
            <v>45323</v>
          </cell>
          <cell r="F59" t="str">
            <v>PELAKSANA SUB BIDANG PENGEMBANGAN SISTEM INFORMATIKA DAN INOVASI PENDAPTAN DAERAH</v>
          </cell>
        </row>
        <row r="60">
          <cell r="B60" t="str">
            <v>19730615 201601 2 001</v>
          </cell>
          <cell r="C60" t="str">
            <v>JUWARIYAH, S.E</v>
          </cell>
          <cell r="D60" t="str">
            <v>Penata Muda (III/a)</v>
          </cell>
          <cell r="E60">
            <v>45323</v>
          </cell>
          <cell r="F60" t="str">
            <v>PELAKSAN SUB BIDANG PEMERIKSAAN DAN VERIFIKASI</v>
          </cell>
        </row>
        <row r="61">
          <cell r="B61" t="str">
            <v>19770505 201601 1 001</v>
          </cell>
          <cell r="C61" t="str">
            <v>CRISTOFFEL WAKUM, S.E</v>
          </cell>
          <cell r="D61" t="str">
            <v>Penata Muda (III/a)</v>
          </cell>
          <cell r="E61">
            <v>45323</v>
          </cell>
          <cell r="F61" t="str">
            <v>PELAKSANA SUB BIDANG PENDATAAN DAN PENDAFTARAN  PBB DAN BPHTB</v>
          </cell>
        </row>
        <row r="62">
          <cell r="B62" t="str">
            <v>19810714 200801 1 008</v>
          </cell>
          <cell r="C62" t="str">
            <v>FRANS MOLI RENYAAN</v>
          </cell>
          <cell r="D62" t="str">
            <v>Penata Muda (III/a)</v>
          </cell>
          <cell r="E62">
            <v>45383</v>
          </cell>
          <cell r="F62" t="str">
            <v>PELAKSANA SUB BIDANG PENDATAAN PBB DAN BPHTB</v>
          </cell>
        </row>
        <row r="63">
          <cell r="B63" t="str">
            <v>19880731 201505 1 002</v>
          </cell>
          <cell r="C63" t="str">
            <v>JONHER KENAN WAROMI, S.E</v>
          </cell>
          <cell r="D63" t="str">
            <v>Penata Muda (III/a)</v>
          </cell>
          <cell r="E63">
            <v>45627</v>
          </cell>
          <cell r="F63" t="str">
            <v>PELAKSANA SUB BIDANG PERHITUNGAN DAN PENETAPAN PAJAK DAERAH</v>
          </cell>
        </row>
        <row r="64">
          <cell r="B64" t="str">
            <v>19940615 201705 1 001</v>
          </cell>
          <cell r="C64" t="str">
            <v>MARTHEN LUTHER RUMBOIRUSY, S.E</v>
          </cell>
          <cell r="D64" t="str">
            <v>Penata Muda (III/a)</v>
          </cell>
          <cell r="E64">
            <v>45627</v>
          </cell>
          <cell r="F64" t="str">
            <v>PELAKSAN SUB BIDANG PENILAIAN DAN PENETAPAN PBB DAN BPHTB</v>
          </cell>
        </row>
        <row r="65">
          <cell r="B65" t="str">
            <v>19800716 201510 1 001</v>
          </cell>
          <cell r="C65" t="str">
            <v>HENDRIANTO ISHAK KONDENG, S.E</v>
          </cell>
          <cell r="D65" t="str">
            <v>Penata Muda (III/a)</v>
          </cell>
          <cell r="E65">
            <v>45627</v>
          </cell>
          <cell r="F65" t="str">
            <v>PELAKSANA SUB BIDANG PENAGIHAN</v>
          </cell>
        </row>
        <row r="66">
          <cell r="B66" t="str">
            <v>19930324 202307 2 001</v>
          </cell>
          <cell r="C66" t="str">
            <v>BETTY DIANA DUMAIS, S.I.P</v>
          </cell>
          <cell r="D66" t="str">
            <v>Penata Muda (III/a)</v>
          </cell>
          <cell r="E66">
            <v>45108</v>
          </cell>
          <cell r="F66" t="str">
            <v>PELAKSANA SUB BAGIAN KEUANGAN (PMB. BENDAHARA PENERIMA)</v>
          </cell>
        </row>
        <row r="67">
          <cell r="B67" t="str">
            <v>19790909 201601 1 001</v>
          </cell>
          <cell r="C67" t="str">
            <v>JEMMY SIMBIAK</v>
          </cell>
          <cell r="D67" t="str">
            <v>Pengatur (II/c)</v>
          </cell>
          <cell r="E67">
            <v>45383</v>
          </cell>
          <cell r="F67" t="str">
            <v>PELAKSANA SUB BAGIAN KEUANGAN (BDH.PENERIMA)</v>
          </cell>
        </row>
        <row r="68">
          <cell r="B68" t="str">
            <v>19890409 202307 1 001</v>
          </cell>
          <cell r="C68" t="str">
            <v>TITUS MOPORTEYAU, A.Md</v>
          </cell>
          <cell r="D68" t="str">
            <v>Pengatur (II/c)</v>
          </cell>
          <cell r="E68">
            <v>45108</v>
          </cell>
          <cell r="F68" t="str">
            <v>PELAKSANA SUB BIDANG PERHITUNGAN DAN PENETAPAN PAJAK DAERAH</v>
          </cell>
        </row>
        <row r="69">
          <cell r="B69" t="str">
            <v>19830906 201505 2 001</v>
          </cell>
          <cell r="C69" t="str">
            <v>SELLI MARIA SUMAIKU</v>
          </cell>
          <cell r="D69" t="str">
            <v>Pengatur (II/c)</v>
          </cell>
          <cell r="E69">
            <v>45200</v>
          </cell>
          <cell r="F69" t="str">
            <v>PELAKSANA SUB BAGIAN PROGRAM</v>
          </cell>
        </row>
        <row r="70">
          <cell r="B70" t="str">
            <v>19801209 201412 1 001</v>
          </cell>
          <cell r="C70" t="str">
            <v>RUSTAM KAPAUR</v>
          </cell>
          <cell r="D70" t="str">
            <v>Pengatur (II/c)</v>
          </cell>
          <cell r="E70">
            <v>45017</v>
          </cell>
          <cell r="F70" t="str">
            <v>PELAKSANA SUB BIDANG PERHITUNGAN DAN PENETAPAN PAJAK DAERAH</v>
          </cell>
        </row>
        <row r="71">
          <cell r="B71" t="str">
            <v>19830717 201001 1 043</v>
          </cell>
          <cell r="C71" t="str">
            <v>KAREL ELMAS</v>
          </cell>
          <cell r="D71" t="str">
            <v>Pengatur Tingkat I (II/d)</v>
          </cell>
          <cell r="E71">
            <v>44652</v>
          </cell>
          <cell r="F71" t="str">
            <v>PELAKSANA SUB BIDANG PENILAIAN DAN PENETAPAN PBB DAN BPHTB</v>
          </cell>
        </row>
        <row r="72">
          <cell r="B72" t="str">
            <v>19821202 201505 2 001</v>
          </cell>
          <cell r="C72" t="str">
            <v>RITA LIDYA WOMBRISAUW</v>
          </cell>
          <cell r="D72" t="str">
            <v>Pengatur Muda Tingkat I (II/b)</v>
          </cell>
          <cell r="E72">
            <v>43739</v>
          </cell>
          <cell r="F72" t="str">
            <v>PELAKSANA SUB BAGIAN UMUM (BENDAHARA BARANG)</v>
          </cell>
        </row>
        <row r="73">
          <cell r="B73" t="str">
            <v>19780408 200112 1 003</v>
          </cell>
          <cell r="C73" t="str">
            <v>NATALIS UAMANG</v>
          </cell>
          <cell r="D73" t="str">
            <v>Pengatur Muda Tingkat I (II/b)</v>
          </cell>
          <cell r="E73">
            <v>45200</v>
          </cell>
          <cell r="F73" t="str">
            <v>PELAKSANA SUB BIDANG PENDATAAN DAN PENDAFTRAN PBB DAN BPHTB</v>
          </cell>
        </row>
        <row r="74">
          <cell r="B74" t="str">
            <v>19830716 201001 1 020</v>
          </cell>
          <cell r="C74" t="str">
            <v>SUPARDI</v>
          </cell>
          <cell r="D74" t="str">
            <v>Pengatur Muda (II/a)</v>
          </cell>
          <cell r="E74">
            <v>45017</v>
          </cell>
          <cell r="F74" t="str">
            <v>PELAKSANA SUB BIDANG PEMERIKSA PAJAK, KONSULTASI, KEBERATAN DAN BANDING</v>
          </cell>
        </row>
        <row r="75">
          <cell r="B75" t="str">
            <v>19910611 202307 2 001</v>
          </cell>
          <cell r="C75" t="str">
            <v>MARTHA SISILIA TJENAWATME</v>
          </cell>
          <cell r="D75" t="str">
            <v>Pengatur Muda (II/a)</v>
          </cell>
          <cell r="E75">
            <v>45108</v>
          </cell>
          <cell r="F75" t="str">
            <v>PELAKSANA SUB BIDANG PENDATAAN DAN PENDAFTARAN PBB DAN BPHTB</v>
          </cell>
        </row>
        <row r="76">
          <cell r="B76" t="str">
            <v>19920308 202307 2 001</v>
          </cell>
          <cell r="C76" t="str">
            <v>JULIANA MAKNAIPEKU</v>
          </cell>
          <cell r="D76" t="str">
            <v>Pengatur Muda (II/a)</v>
          </cell>
          <cell r="E76">
            <v>45108</v>
          </cell>
          <cell r="F76" t="str">
            <v>PELAKSANA SUB BIDANG PENILAIAN DAN PENETAPAN PBB DAN BPHTB</v>
          </cell>
        </row>
        <row r="77">
          <cell r="B77" t="str">
            <v>19900714 202307 1 001</v>
          </cell>
          <cell r="C77" t="str">
            <v>LEONARDUS POAY</v>
          </cell>
          <cell r="D77" t="str">
            <v>Pengatur Muda (II/a)</v>
          </cell>
          <cell r="E77">
            <v>45108</v>
          </cell>
          <cell r="F77" t="str">
            <v>PELAKSANA SUB BIDANG PENDATAAN PBB DAN BPHTB</v>
          </cell>
        </row>
        <row r="78">
          <cell r="B78" t="str">
            <v>19890909 202307 1 001</v>
          </cell>
          <cell r="C78" t="str">
            <v>HIRONEMUS THOBIAS IMIPIYAU</v>
          </cell>
          <cell r="D78" t="str">
            <v>Pengatur Muda (II/a)</v>
          </cell>
          <cell r="E78">
            <v>45108</v>
          </cell>
          <cell r="F78" t="str">
            <v>PELAKSANA SUB BIDANG PENAGIHAN RESTITUSI PBB DAN BPHTB</v>
          </cell>
        </row>
        <row r="79">
          <cell r="B79" t="str">
            <v>19930416 202307 1 001</v>
          </cell>
          <cell r="C79" t="str">
            <v>BENJAMIN TUTUPAHAR</v>
          </cell>
          <cell r="D79" t="str">
            <v>Pengatur Muda (II/a)</v>
          </cell>
          <cell r="E79">
            <v>45108</v>
          </cell>
          <cell r="F79" t="str">
            <v>PELAKSANA SUB BIDANG PERHITUNGAN DAN PENETAPAN PAJAK DAERAH</v>
          </cell>
        </row>
        <row r="80">
          <cell r="B80" t="str">
            <v>19810909 201510 1 001</v>
          </cell>
          <cell r="C80" t="str">
            <v>EDWARD STEPHEN TEMORUBUN</v>
          </cell>
          <cell r="D80" t="str">
            <v>Pengatur Muda (II/a)</v>
          </cell>
          <cell r="E80">
            <v>45200</v>
          </cell>
          <cell r="F80" t="str">
            <v>PELAKSANA SUB BIDANG PENILAIAN DAN PENETAPAN PBB DAN BPHTB</v>
          </cell>
        </row>
        <row r="81">
          <cell r="B81" t="str">
            <v>20010424 202506 2 016</v>
          </cell>
          <cell r="C81" t="str">
            <v>NOVALINCE KOGOYA, S.I.P</v>
          </cell>
          <cell r="D81" t="str">
            <v>CPNS (III/a)</v>
          </cell>
          <cell r="E81">
            <v>45809</v>
          </cell>
          <cell r="F81" t="str">
            <v>PELAKSANA SUB BIDANG PENDATAAN DAN PENDAFTARAN PAJAK</v>
          </cell>
        </row>
        <row r="82">
          <cell r="B82" t="str">
            <v>19901010 202506 2 006</v>
          </cell>
          <cell r="C82" t="str">
            <v>ELSIE NINING BANOSRO, S.E</v>
          </cell>
          <cell r="D82" t="str">
            <v>CPNS (III/a)</v>
          </cell>
          <cell r="E82">
            <v>45809</v>
          </cell>
          <cell r="F82" t="str">
            <v>PELAKSANA SUB BIDANG PENILAIAN DAN PENETAPAN PBB DAN BPHTB</v>
          </cell>
        </row>
        <row r="83">
          <cell r="B83" t="str">
            <v>19920522 202506 1 008</v>
          </cell>
          <cell r="C83" t="str">
            <v>HERMAN YAWA, S.E</v>
          </cell>
          <cell r="D83" t="str">
            <v>CPNS (III/a)</v>
          </cell>
          <cell r="E83">
            <v>45809</v>
          </cell>
          <cell r="F83" t="str">
            <v>PELAKSANA SUB BIDANG PENDATAAN DAN PENDAFTARAN PAJAK</v>
          </cell>
        </row>
        <row r="84">
          <cell r="B84" t="str">
            <v>20000211 202506 2 016</v>
          </cell>
          <cell r="C84" t="str">
            <v>WILHELMINA FEBRINA TSOLME, S.Psi</v>
          </cell>
          <cell r="D84" t="str">
            <v>CPNS (III/a)</v>
          </cell>
          <cell r="E84">
            <v>45809</v>
          </cell>
          <cell r="F84" t="str">
            <v>PELAKSANA SUB BIDANG PENGEMBANGAN SISTEM INFORMATIKA DAN INOVASI PENDAPTAN DAERAH</v>
          </cell>
        </row>
        <row r="85">
          <cell r="B85" t="str">
            <v>19920108 202506 2 002</v>
          </cell>
          <cell r="C85" t="str">
            <v>JAYANTI YANIS, S.E</v>
          </cell>
          <cell r="D85" t="str">
            <v>CPNS (III/a)</v>
          </cell>
          <cell r="E85">
            <v>45809</v>
          </cell>
          <cell r="F85" t="str">
            <v>PELAKSANA SUB BIDANG REGULASI PENDAPATAN DAERAH</v>
          </cell>
        </row>
        <row r="86">
          <cell r="B86" t="str">
            <v>19980920 202506 2 017</v>
          </cell>
          <cell r="C86" t="str">
            <v>MERLYN LAKASA, S.E</v>
          </cell>
          <cell r="D86" t="str">
            <v>CPNS (III/a)</v>
          </cell>
          <cell r="E86">
            <v>45809</v>
          </cell>
          <cell r="F86" t="str">
            <v>PELAKSANA SUB BIDANG PEMBUKUAN DAN PELAPORAN</v>
          </cell>
        </row>
        <row r="87">
          <cell r="B87" t="str">
            <v>19830205 202321 1 017</v>
          </cell>
          <cell r="C87" t="str">
            <v>JUFRI KUM, S.E</v>
          </cell>
          <cell r="D87" t="str">
            <v>PPPK/GOL. IX</v>
          </cell>
          <cell r="E87">
            <v>45108</v>
          </cell>
          <cell r="F87" t="str">
            <v>PELAKSANA SUB BIDANG REGULASI PENDAPATAN DAERAH</v>
          </cell>
        </row>
        <row r="88">
          <cell r="B88" t="str">
            <v>19750529 202321 1 002</v>
          </cell>
          <cell r="C88" t="str">
            <v>OBETH MARANI, S.Si</v>
          </cell>
          <cell r="D88" t="str">
            <v>PPPK/GOL. IX</v>
          </cell>
          <cell r="E88">
            <v>45108</v>
          </cell>
          <cell r="F88" t="str">
            <v>PELAKSANA SUB BIDANG PENAGIHAN</v>
          </cell>
        </row>
        <row r="89">
          <cell r="B89" t="str">
            <v>19810203 202321 1 012</v>
          </cell>
          <cell r="C89" t="str">
            <v>PLASIDUS MAWIYAKO</v>
          </cell>
          <cell r="D89" t="str">
            <v>PPPK/GOL. V</v>
          </cell>
          <cell r="E89">
            <v>45108</v>
          </cell>
          <cell r="F89" t="str">
            <v>PELAKSANA SUB BAGIAN UMUM</v>
          </cell>
        </row>
        <row r="90">
          <cell r="B90" t="str">
            <v>19940417 202521 2 159</v>
          </cell>
          <cell r="C90" t="str">
            <v>WIDIA SUMADI, S.E</v>
          </cell>
          <cell r="D90" t="str">
            <v>PPPK/GOL. IX</v>
          </cell>
          <cell r="E90">
            <v>46023</v>
          </cell>
          <cell r="F90" t="str">
            <v>PELAKSANA SUB BAGIAN KEUANGAN</v>
          </cell>
        </row>
        <row r="91">
          <cell r="B91" t="str">
            <v>19910515 202521 2 232</v>
          </cell>
          <cell r="C91" t="str">
            <v>ANSILIA SILITUBUN,S.E</v>
          </cell>
          <cell r="D91" t="str">
            <v>PPPK/GOL. IX</v>
          </cell>
          <cell r="E91">
            <v>46023</v>
          </cell>
          <cell r="F91" t="str">
            <v>PELAKSANA SUB BIDANG PEMBUKUAN DAN PELAPORAN</v>
          </cell>
        </row>
        <row r="92">
          <cell r="B92" t="str">
            <v>19890705 202521 2 187</v>
          </cell>
          <cell r="C92" t="str">
            <v>IMELDA WINDAYANA SALASSA', S.E</v>
          </cell>
          <cell r="D92" t="str">
            <v>PPPK/GOL. IX</v>
          </cell>
          <cell r="E92">
            <v>46023</v>
          </cell>
          <cell r="F92" t="str">
            <v>PELAKSANA SUB BIDANG PENDATAAN DAN PENDAFTARAN PAJAK</v>
          </cell>
        </row>
        <row r="93">
          <cell r="B93" t="str">
            <v>19811023 202521 1 089</v>
          </cell>
          <cell r="C93" t="str">
            <v>OKTOVIANUS KOCU, S.I.P</v>
          </cell>
          <cell r="D93" t="str">
            <v>PPPK/GOL. IX</v>
          </cell>
          <cell r="E93">
            <v>46023</v>
          </cell>
          <cell r="F93" t="str">
            <v>PELAKSANA SUB BAGIAN PENAGIHAN</v>
          </cell>
        </row>
        <row r="94">
          <cell r="B94" t="str">
            <v>19910920 202521 2 139</v>
          </cell>
          <cell r="C94" t="str">
            <v>BEATRIKS JANJAAN, S.E</v>
          </cell>
          <cell r="D94" t="str">
            <v>PPPK/GOL. IX</v>
          </cell>
          <cell r="E94">
            <v>46023</v>
          </cell>
          <cell r="F94" t="str">
            <v>PELAKSANA SUB BIDANG PENDATAAN DAN PENDAFTARAN PAJAK</v>
          </cell>
        </row>
        <row r="95">
          <cell r="B95" t="str">
            <v>19881114 202521 2 089</v>
          </cell>
          <cell r="C95" t="str">
            <v>CHRISYE ASTERINA, S.E</v>
          </cell>
          <cell r="D95" t="str">
            <v>PPPK/GOL. IX</v>
          </cell>
          <cell r="E95">
            <v>46023</v>
          </cell>
          <cell r="F95" t="str">
            <v>PELAKSANA SUB BAGIAN UMUM</v>
          </cell>
        </row>
        <row r="96">
          <cell r="B96" t="str">
            <v>19760809 202521 1 052</v>
          </cell>
          <cell r="C96" t="str">
            <v>FREJON M. SAKLIL, S.Sos</v>
          </cell>
          <cell r="D96" t="str">
            <v>PPPK/GOL. IX</v>
          </cell>
          <cell r="E96">
            <v>46023</v>
          </cell>
          <cell r="F96" t="str">
            <v>PELAKSANA SUB BAGIAN UMUM</v>
          </cell>
        </row>
        <row r="97">
          <cell r="B97" t="str">
            <v>19810429 202521 2 052</v>
          </cell>
          <cell r="C97" t="str">
            <v>YUNITA LEME' LUMEMBANG, S.T</v>
          </cell>
          <cell r="D97" t="str">
            <v>PPPK/GOL. IX</v>
          </cell>
          <cell r="E97">
            <v>46023</v>
          </cell>
          <cell r="F97" t="str">
            <v>PELAKSANA SUB BIDANG PENILAIAN DAN PENETAPAN PBB DAN BPHTB</v>
          </cell>
        </row>
        <row r="98">
          <cell r="B98" t="str">
            <v>19870415 202521 1 146</v>
          </cell>
          <cell r="C98" t="str">
            <v>IMANUEL PAULUS SAMPEPADANG, S.E</v>
          </cell>
          <cell r="D98" t="str">
            <v>PPPK/GOL. IX</v>
          </cell>
          <cell r="E98">
            <v>46023</v>
          </cell>
          <cell r="F98" t="str">
            <v>PELAKSANA SUB BIDANG PENAGIHAN</v>
          </cell>
        </row>
        <row r="99">
          <cell r="B99" t="str">
            <v>19940818 202521 1 135</v>
          </cell>
          <cell r="C99" t="str">
            <v>AGUSTINUS SETITIT, S.Sos</v>
          </cell>
          <cell r="D99" t="str">
            <v>PPPK/GOL. IX</v>
          </cell>
          <cell r="E99">
            <v>46023</v>
          </cell>
          <cell r="F99" t="str">
            <v>PELAKSANA SUB BIDANG PENDATAAN DAN PENDAFTARAN PBB DAN BPHTB</v>
          </cell>
        </row>
        <row r="100">
          <cell r="B100" t="str">
            <v>19760806 202521 1 082</v>
          </cell>
          <cell r="C100" t="str">
            <v>ARISTON KARTONO, S.T</v>
          </cell>
          <cell r="D100" t="str">
            <v>PPPK/GOL. IX</v>
          </cell>
          <cell r="E100">
            <v>46023</v>
          </cell>
          <cell r="F100" t="str">
            <v>PELAKSAN SUB BIDANG PENAGIHAN RESTITUSI PBB DAN BPHTB</v>
          </cell>
        </row>
        <row r="101">
          <cell r="B101" t="str">
            <v>19950612 202521 1 129</v>
          </cell>
          <cell r="C101" t="str">
            <v>ADITYA SAPUTRA, S.S.T</v>
          </cell>
          <cell r="D101" t="str">
            <v>PPPK/GOL. IX</v>
          </cell>
          <cell r="E101">
            <v>46023</v>
          </cell>
          <cell r="F101" t="str">
            <v>PELAKSANA SUB BIDANG PENILAIAN DAN PENETAPAN PBB DAN BPHTB</v>
          </cell>
        </row>
        <row r="102">
          <cell r="B102" t="str">
            <v>19940428 202521 2 165</v>
          </cell>
          <cell r="C102" t="str">
            <v>MARIA RESTA LEISUBUN, S.S</v>
          </cell>
          <cell r="D102" t="str">
            <v>PPPK/GOL. IX</v>
          </cell>
          <cell r="E102">
            <v>46023</v>
          </cell>
          <cell r="F102" t="str">
            <v>PELAKSANA SUB BAGIAN KEPEGAWAIAN</v>
          </cell>
        </row>
        <row r="103">
          <cell r="B103" t="str">
            <v>19930927 202521 1 139</v>
          </cell>
          <cell r="C103" t="str">
            <v>HERMAN FERDINAND DESSA, S.I.P., M.I.P</v>
          </cell>
          <cell r="D103" t="str">
            <v>PPPK/GOL. IX</v>
          </cell>
          <cell r="E103">
            <v>46023</v>
          </cell>
          <cell r="F103" t="str">
            <v>PELAKSANA SUB BIDANG PENDATAAN DAN PENDAFTARAN PBB DAN BPHTB</v>
          </cell>
        </row>
        <row r="104">
          <cell r="B104" t="str">
            <v>19940714 202521 1 123</v>
          </cell>
          <cell r="C104" t="str">
            <v>MICHAEL TEGUH TRISATYA TANDISENO, S.T</v>
          </cell>
          <cell r="D104" t="str">
            <v>PPPK/GOL. IX</v>
          </cell>
          <cell r="E104">
            <v>46023</v>
          </cell>
          <cell r="F104" t="str">
            <v>PELAKSANA SUB BIDANG REGULASI PENDAPATAN DAERAH</v>
          </cell>
        </row>
        <row r="105">
          <cell r="B105" t="str">
            <v>19961111 202521 2 187</v>
          </cell>
          <cell r="C105" t="str">
            <v>OPI' SUMULE, S.E</v>
          </cell>
          <cell r="D105" t="str">
            <v>PPPK/GOL. IX</v>
          </cell>
          <cell r="E105">
            <v>46023</v>
          </cell>
          <cell r="F105" t="str">
            <v>PELAKSANA SUB BIDANG PENILAIAN DAN PENETAPAN PBB DAN BPHTB</v>
          </cell>
        </row>
        <row r="106">
          <cell r="B106" t="str">
            <v>19820421 202521 2 092</v>
          </cell>
          <cell r="C106" t="str">
            <v>KARTINI, S.I.P</v>
          </cell>
          <cell r="D106" t="str">
            <v>PPPK/GOL. IX</v>
          </cell>
          <cell r="E106">
            <v>46023</v>
          </cell>
          <cell r="F106" t="str">
            <v>PELAKSANA SUB BIDANG PENILAIAN DAN PENETAPAN PBB DAN BPHTB</v>
          </cell>
        </row>
        <row r="107">
          <cell r="B107" t="str">
            <v>19891026 202521 1 123</v>
          </cell>
          <cell r="C107" t="str">
            <v>CHRISTIAN R. S. LESILOLO, S.Sos., M.Si</v>
          </cell>
          <cell r="D107" t="str">
            <v>PPPK/GOL. IX</v>
          </cell>
          <cell r="E107">
            <v>46023</v>
          </cell>
          <cell r="F107" t="str">
            <v>PELAKSANA SUB BIDANG PENDATAAN DAN PENDAFTARAN PAJAK</v>
          </cell>
        </row>
        <row r="108">
          <cell r="B108" t="str">
            <v>19860525 202521 1 205</v>
          </cell>
          <cell r="C108" t="str">
            <v>WILSON SALAKORY, S.T</v>
          </cell>
          <cell r="D108" t="str">
            <v>PPPK/GOL. IX</v>
          </cell>
          <cell r="E108">
            <v>46023</v>
          </cell>
          <cell r="F108" t="str">
            <v>PELAKSANA SUB BIDANG PENDATAAN DAN PENDAFTARAN PAJAK</v>
          </cell>
        </row>
        <row r="109">
          <cell r="B109" t="str">
            <v>19950516 202521 2 190</v>
          </cell>
          <cell r="C109" t="str">
            <v>RESKA LILINGCIA AMBA RONTING, S.E</v>
          </cell>
          <cell r="D109" t="str">
            <v>PPPK/GOL. IX</v>
          </cell>
          <cell r="E109">
            <v>46023</v>
          </cell>
          <cell r="F109" t="str">
            <v>PELAKSANA SUB BIDANG PENDATAAN DAN PENDAFTARAN PAJAK</v>
          </cell>
        </row>
        <row r="110">
          <cell r="B110" t="str">
            <v>19921203 202521 1 093</v>
          </cell>
          <cell r="C110" t="str">
            <v>SURISTO ARRANG BUA, S.Kom</v>
          </cell>
          <cell r="D110" t="str">
            <v>PPPK/GOL. IX</v>
          </cell>
          <cell r="E110">
            <v>46023</v>
          </cell>
          <cell r="F110" t="str">
            <v>PELAKSANA SUB BIDANG PENGEMBANGAN SISTEM INFORMATIKA DAN INOVASI PENDAPATAN DAERAH</v>
          </cell>
        </row>
        <row r="111">
          <cell r="B111" t="str">
            <v>19890821 202521 2 120</v>
          </cell>
          <cell r="C111" t="str">
            <v>ESTER WASTY WABISER, S.E</v>
          </cell>
          <cell r="D111" t="str">
            <v>PPPK/GOL. IX</v>
          </cell>
          <cell r="E111">
            <v>46023</v>
          </cell>
          <cell r="F111" t="str">
            <v>PELAKSANA SUB BIDANG PEMERIKSA PAJAK, KONSULTASI KEBERATAN DAN BANDING</v>
          </cell>
        </row>
        <row r="112">
          <cell r="B112" t="str">
            <v>19911016 202521 1 134</v>
          </cell>
          <cell r="C112" t="str">
            <v>CHRISTIAN VANHALEN PANGAU, S.E</v>
          </cell>
          <cell r="D112" t="str">
            <v>PPPK/GOL. IX</v>
          </cell>
          <cell r="E112">
            <v>46023</v>
          </cell>
          <cell r="F112" t="str">
            <v>PELAKSANA SUB BIDANG PENILAIAN DAN PENETAPAN PBB DAN BPHTB</v>
          </cell>
        </row>
        <row r="113">
          <cell r="B113" t="str">
            <v>19940405 202521 2 200</v>
          </cell>
          <cell r="C113" t="str">
            <v>NATALIA SETITIT, S.Pd</v>
          </cell>
          <cell r="D113" t="str">
            <v>PPPK/GOL. IX</v>
          </cell>
          <cell r="E113">
            <v>46023</v>
          </cell>
          <cell r="F113" t="str">
            <v>SUB BIDANG PEMERIKSAAN DAN VERIFIKASI</v>
          </cell>
        </row>
        <row r="114">
          <cell r="B114" t="str">
            <v>19890513 202521 1 158</v>
          </cell>
          <cell r="C114" t="str">
            <v>TIAR TAMPANG, S.T</v>
          </cell>
          <cell r="D114" t="str">
            <v>PPPK/GOL. IX</v>
          </cell>
          <cell r="E114">
            <v>46023</v>
          </cell>
          <cell r="F114" t="str">
            <v>PELAKSANA SUB BIDANG DANA PERIMBANGAN</v>
          </cell>
        </row>
        <row r="115">
          <cell r="B115" t="str">
            <v>19990729 202521 2 107</v>
          </cell>
          <cell r="C115" t="str">
            <v>PRISILIA YULIANA SAHELANGI, S.E</v>
          </cell>
          <cell r="D115" t="str">
            <v>PPPK/GOL. IX</v>
          </cell>
          <cell r="E115">
            <v>46023</v>
          </cell>
          <cell r="F115" t="str">
            <v>PELAKSANA SUB BIDANG RETRIBUSI DAN PENDAPATAN DAERAH LAINNYA</v>
          </cell>
        </row>
        <row r="116">
          <cell r="B116" t="str">
            <v>19820307 202521 2 070</v>
          </cell>
          <cell r="C116" t="str">
            <v>MARGARETA YULITA SOLO, A.Md</v>
          </cell>
          <cell r="D116" t="str">
            <v>PPPK/GOL. IX</v>
          </cell>
          <cell r="E116">
            <v>46023</v>
          </cell>
          <cell r="F116" t="str">
            <v>PELAKSANA SUB BAGIAN KEPEGAWAIAN</v>
          </cell>
        </row>
        <row r="117">
          <cell r="B117" t="str">
            <v>19910101 202521 1 436</v>
          </cell>
          <cell r="C117" t="str">
            <v>JEPRIN SOKKO</v>
          </cell>
          <cell r="D117" t="str">
            <v>PPPK/GOL. VII</v>
          </cell>
          <cell r="E117">
            <v>46023</v>
          </cell>
          <cell r="F117" t="str">
            <v>PELAKSANA SUB BIDANG PEMERIKSAAN DAN VERIFIKASI</v>
          </cell>
        </row>
        <row r="118">
          <cell r="B118" t="str">
            <v>19841014 202521 2 063</v>
          </cell>
          <cell r="C118" t="str">
            <v>MARIA MAGDALENA WAGAB</v>
          </cell>
          <cell r="D118" t="str">
            <v>PPPK/GOL. V</v>
          </cell>
          <cell r="E118">
            <v>46023</v>
          </cell>
          <cell r="F118" t="str">
            <v>PELAKSANA SUB BAGIAN UMUM</v>
          </cell>
        </row>
        <row r="119">
          <cell r="B119" t="str">
            <v>19761014 202521 1 058</v>
          </cell>
          <cell r="C119" t="str">
            <v>EDISON MAY</v>
          </cell>
          <cell r="D119" t="str">
            <v>PPPK/GOL. V</v>
          </cell>
          <cell r="E119">
            <v>46023</v>
          </cell>
          <cell r="F119" t="str">
            <v>PELAKSANA SUB BIDANG PENAGIHAN RESTITUSI PBB DAN BPHTB</v>
          </cell>
        </row>
        <row r="120">
          <cell r="B120" t="str">
            <v>19850528 202521 1 093</v>
          </cell>
          <cell r="C120" t="str">
            <v>ANDI WIJANARKO</v>
          </cell>
          <cell r="D120" t="str">
            <v>PPPK/GOL. V</v>
          </cell>
          <cell r="E120">
            <v>46023</v>
          </cell>
          <cell r="F120" t="str">
            <v>PELAKSANA SUB BIDANG PENAGIHAN RESTITUSI PBB DAN BPHTB</v>
          </cell>
        </row>
        <row r="121">
          <cell r="B121" t="str">
            <v>19970125 202521 1 076</v>
          </cell>
          <cell r="C121" t="str">
            <v>ARYOS ABRAHAM RITIAUW</v>
          </cell>
          <cell r="D121" t="str">
            <v>PPPK/GOL. V</v>
          </cell>
          <cell r="E121">
            <v>46023</v>
          </cell>
          <cell r="F121" t="str">
            <v>PELAKSANA SUB BIDANG PENDATAAN DAN PENDAFTARAN PBB DAN BPHTB</v>
          </cell>
        </row>
        <row r="122">
          <cell r="B122" t="str">
            <v>19930518 202521 2 143</v>
          </cell>
          <cell r="C122" t="str">
            <v>SHERLY TESALONIKA PAULUS</v>
          </cell>
          <cell r="D122" t="str">
            <v>PPPK/GOL. V</v>
          </cell>
          <cell r="E122">
            <v>46023</v>
          </cell>
          <cell r="F122" t="str">
            <v>PELAKSANA SUB BIDANG PENDATAAN DAN PENDAFTARAN PAJAK</v>
          </cell>
        </row>
        <row r="123">
          <cell r="B123" t="str">
            <v>19740628 202521 1 039</v>
          </cell>
          <cell r="C123" t="str">
            <v>YEFTA TAHRIN</v>
          </cell>
          <cell r="D123" t="str">
            <v>PPPK/GOL. V</v>
          </cell>
          <cell r="E123">
            <v>46023</v>
          </cell>
          <cell r="F123" t="str">
            <v>PELAKSANA SUB BIDANG PERHITUNGAN DAN PENETAPAN PAJAK DAERAH</v>
          </cell>
        </row>
        <row r="124">
          <cell r="B124" t="str">
            <v>19950213 202521 1 115</v>
          </cell>
          <cell r="C124" t="str">
            <v>RISMAL</v>
          </cell>
          <cell r="D124" t="str">
            <v>PPPK/GOL. V</v>
          </cell>
          <cell r="E124">
            <v>46023</v>
          </cell>
          <cell r="F124" t="str">
            <v>PELAKSANA SUB BIDANG PEMERIKSA PAJAK, KONSULTASI KEBERATAN DAN BANDING</v>
          </cell>
        </row>
        <row r="125">
          <cell r="B125" t="str">
            <v>19840217 202521 1 083</v>
          </cell>
          <cell r="C125" t="str">
            <v>MATHEOS A. LATUPEIRISSA</v>
          </cell>
          <cell r="D125" t="str">
            <v>PPPK/GOL. V</v>
          </cell>
          <cell r="E125">
            <v>46023</v>
          </cell>
          <cell r="F125" t="str">
            <v>PELAKSANA SUB BIDANG PERHITUNGAN DAN PENETAPAN PAJAK DAERAH</v>
          </cell>
        </row>
        <row r="126">
          <cell r="B126" t="str">
            <v>19870729 202521 1 147</v>
          </cell>
          <cell r="C126" t="str">
            <v>YANCE REHENA</v>
          </cell>
          <cell r="D126" t="str">
            <v>PPPK/GOL. V</v>
          </cell>
          <cell r="E126">
            <v>46023</v>
          </cell>
          <cell r="F126" t="str">
            <v>PELAKSANA SUB BIDANG PENDATAAN DAN PENDAFTARAN PBB DAN BPHTB</v>
          </cell>
        </row>
        <row r="127">
          <cell r="B127" t="str">
            <v>19760918 202521 1 045</v>
          </cell>
          <cell r="C127" t="str">
            <v>JERMIAS SOUHOKA</v>
          </cell>
          <cell r="D127" t="str">
            <v>PPPK/GOL. V</v>
          </cell>
          <cell r="E127">
            <v>46023</v>
          </cell>
          <cell r="F127" t="str">
            <v>PELAKSANA SUB BIDANG PENDATAAN DAN PENDAFTARAN PAJAK</v>
          </cell>
        </row>
        <row r="128">
          <cell r="B128" t="str">
            <v>2002122 5202521 1 009</v>
          </cell>
          <cell r="C128" t="str">
            <v>M. MIRDAN A.ARFA</v>
          </cell>
          <cell r="D128" t="str">
            <v>PPPK/GOL. V</v>
          </cell>
          <cell r="E128">
            <v>46023</v>
          </cell>
          <cell r="F128" t="str">
            <v>PELAKSANA SUB BIDANG PERHITUNGAN DAN PENETAPAN PAJAK DAERAH</v>
          </cell>
        </row>
        <row r="129">
          <cell r="B129" t="str">
            <v>19841222 202521 1 105</v>
          </cell>
          <cell r="C129" t="str">
            <v>CARL GUSTAF NAAMAN GIAY</v>
          </cell>
          <cell r="D129" t="str">
            <v>PPPK/GOL. V</v>
          </cell>
          <cell r="E129">
            <v>46023</v>
          </cell>
          <cell r="F129" t="str">
            <v>PELAKSANA SUB BIDANG PENAGIHAN RESTITUSI PBB DAN BPHTB</v>
          </cell>
        </row>
        <row r="130">
          <cell r="B130" t="str">
            <v>19960811 202521 2 091</v>
          </cell>
          <cell r="C130" t="str">
            <v>CINTHIA REGINA RINA WOMSIWOR</v>
          </cell>
          <cell r="D130" t="str">
            <v>PPPK/GOL. V</v>
          </cell>
          <cell r="E130">
            <v>46023</v>
          </cell>
          <cell r="F130" t="str">
            <v>PELAKSANA SUB BIDANG PENAGIHAN RESTITUSI PBB DAN BPHTB</v>
          </cell>
        </row>
        <row r="131">
          <cell r="B131" t="str">
            <v>19920208 202521 1 163</v>
          </cell>
          <cell r="C131" t="str">
            <v>JUFRI HINDOM</v>
          </cell>
          <cell r="D131" t="str">
            <v>PPPK/GOL. V</v>
          </cell>
          <cell r="E131">
            <v>46023</v>
          </cell>
          <cell r="F131" t="str">
            <v>PELAKSANA SUB BIDANG DANA PERIMBANGAN</v>
          </cell>
        </row>
        <row r="132">
          <cell r="B132" t="str">
            <v>199508 20202521 1 116</v>
          </cell>
          <cell r="C132" t="str">
            <v>SIMON SIMAHA</v>
          </cell>
          <cell r="D132" t="str">
            <v>PPPK/GOL. V</v>
          </cell>
          <cell r="E132">
            <v>46023</v>
          </cell>
          <cell r="F132" t="str">
            <v>PELAKSANA SUB BIDANG UMUM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3D2C-7602-4838-AD3F-F34D6B4247D0}">
  <dimension ref="A1:G171"/>
  <sheetViews>
    <sheetView tabSelected="1" workbookViewId="0">
      <selection activeCell="I31" sqref="I31"/>
    </sheetView>
  </sheetViews>
  <sheetFormatPr defaultRowHeight="15" x14ac:dyDescent="0.25"/>
  <cols>
    <col min="1" max="1" width="5.5703125" customWidth="1"/>
    <col min="2" max="2" width="39.85546875" customWidth="1"/>
    <col min="3" max="3" width="22.42578125" customWidth="1"/>
    <col min="4" max="4" width="20.85546875" customWidth="1"/>
    <col min="5" max="5" width="30.42578125" customWidth="1"/>
    <col min="6" max="6" width="17.42578125" customWidth="1"/>
    <col min="7" max="7" width="11.42578125" customWidth="1"/>
  </cols>
  <sheetData>
    <row r="1" spans="1:7" x14ac:dyDescent="0.25">
      <c r="A1" s="1"/>
      <c r="B1" s="1"/>
      <c r="C1" s="2"/>
      <c r="D1" s="3"/>
      <c r="E1" s="4"/>
      <c r="F1" s="2"/>
      <c r="G1" s="2"/>
    </row>
    <row r="2" spans="1:7" x14ac:dyDescent="0.25">
      <c r="A2" s="1"/>
      <c r="B2" s="1"/>
      <c r="C2" s="2"/>
      <c r="D2" s="3"/>
      <c r="E2" s="4"/>
      <c r="F2" s="2"/>
      <c r="G2" s="2"/>
    </row>
    <row r="3" spans="1:7" x14ac:dyDescent="0.25">
      <c r="A3" s="1"/>
      <c r="B3" s="1"/>
      <c r="C3" s="2"/>
      <c r="D3" s="3"/>
      <c r="E3" s="4"/>
      <c r="F3" s="2"/>
      <c r="G3" s="2"/>
    </row>
    <row r="4" spans="1:7" x14ac:dyDescent="0.25">
      <c r="A4" s="1"/>
      <c r="B4" s="1"/>
      <c r="C4" s="2"/>
      <c r="D4" s="3"/>
      <c r="E4" s="4"/>
      <c r="F4" s="2"/>
      <c r="G4" s="2"/>
    </row>
    <row r="5" spans="1:7" x14ac:dyDescent="0.25">
      <c r="A5" s="1"/>
      <c r="B5" s="1"/>
      <c r="C5" s="2"/>
      <c r="D5" s="3"/>
      <c r="E5" s="4"/>
      <c r="F5" s="2"/>
      <c r="G5" s="2"/>
    </row>
    <row r="6" spans="1:7" x14ac:dyDescent="0.25">
      <c r="A6" s="1"/>
      <c r="B6" s="1"/>
      <c r="C6" s="2"/>
      <c r="D6" s="3"/>
      <c r="E6" s="4"/>
      <c r="F6" s="2"/>
      <c r="G6" s="2"/>
    </row>
    <row r="7" spans="1:7" x14ac:dyDescent="0.25">
      <c r="A7" s="1"/>
      <c r="B7" s="1"/>
      <c r="C7" s="2"/>
      <c r="D7" s="3"/>
      <c r="E7" s="4"/>
      <c r="F7" s="2"/>
      <c r="G7" s="2"/>
    </row>
    <row r="8" spans="1:7" ht="15.75" x14ac:dyDescent="0.25">
      <c r="A8" s="1"/>
      <c r="B8" s="5" t="s">
        <v>0</v>
      </c>
      <c r="C8" s="6"/>
      <c r="D8" s="3"/>
      <c r="E8" s="4"/>
      <c r="F8" s="2"/>
      <c r="G8" s="2"/>
    </row>
    <row r="9" spans="1:7" ht="15.75" x14ac:dyDescent="0.25">
      <c r="A9" s="1"/>
      <c r="B9" s="7" t="s">
        <v>1</v>
      </c>
      <c r="C9" s="8">
        <f ca="1">TODAY()</f>
        <v>46163</v>
      </c>
      <c r="D9" s="8"/>
      <c r="E9" s="4"/>
      <c r="F9" s="2"/>
      <c r="G9" s="2"/>
    </row>
    <row r="10" spans="1:7" ht="15.75" x14ac:dyDescent="0.25">
      <c r="A10" s="1"/>
      <c r="B10" s="7"/>
      <c r="C10" s="9"/>
      <c r="D10" s="3"/>
      <c r="E10" s="4"/>
      <c r="F10" s="2"/>
      <c r="G10" s="2"/>
    </row>
    <row r="11" spans="1:7" ht="24" x14ac:dyDescent="0.25">
      <c r="A11" s="10" t="s">
        <v>2</v>
      </c>
      <c r="B11" s="11"/>
      <c r="C11" s="11"/>
      <c r="D11" s="11"/>
      <c r="E11" s="11"/>
      <c r="F11" s="11"/>
      <c r="G11" s="12"/>
    </row>
    <row r="12" spans="1:7" ht="15.75" x14ac:dyDescent="0.25">
      <c r="A12" s="13" t="s">
        <v>3</v>
      </c>
      <c r="B12" s="14" t="s">
        <v>4</v>
      </c>
      <c r="C12" s="15" t="s">
        <v>5</v>
      </c>
      <c r="D12" s="16" t="s">
        <v>6</v>
      </c>
      <c r="E12" s="16" t="s">
        <v>7</v>
      </c>
      <c r="F12" s="14" t="s">
        <v>8</v>
      </c>
      <c r="G12" s="14" t="s">
        <v>9</v>
      </c>
    </row>
    <row r="13" spans="1:7" ht="27" x14ac:dyDescent="0.25">
      <c r="A13" s="17">
        <v>1</v>
      </c>
      <c r="B13" s="17" t="str">
        <f>VLOOKUP(C13,[1]NOMINATIF!$B$7:$C$414,2,0)</f>
        <v>Dr.Drs. DWI CHOLIFAH, Ap., M.Si</v>
      </c>
      <c r="C13" s="18" t="s">
        <v>10</v>
      </c>
      <c r="D13" s="19" t="str">
        <f>VLOOKUP(C13,[1]NOMINATIF!$B$7:$D$132,3,0)</f>
        <v>Pembina Utama Muda (IV/c)</v>
      </c>
      <c r="E13" s="20" t="str">
        <f>VLOOKUP(C13,[1]NOMINATIF!$B$7:$F$150,5,0)</f>
        <v>KEPALA BADAN</v>
      </c>
      <c r="F13" s="21"/>
      <c r="G13" s="21"/>
    </row>
    <row r="14" spans="1:7" x14ac:dyDescent="0.25">
      <c r="A14" s="17">
        <v>2</v>
      </c>
      <c r="B14" s="17" t="str">
        <f>VLOOKUP(C14,[1]NOMINATIF!$B$7:$C$414,2,0)</f>
        <v>HENRIKUS SETITIT, S.Sos., M.Si</v>
      </c>
      <c r="C14" s="22" t="s">
        <v>12</v>
      </c>
      <c r="D14" s="19" t="str">
        <f>VLOOKUP(C14,[1]NOMINATIF!$B$7:$D$132,3,0)</f>
        <v>Pembina (IV/a)</v>
      </c>
      <c r="E14" s="20" t="str">
        <f>VLOOKUP(C14,[1]NOMINATIF!$B$7:$F$150,5,0)</f>
        <v xml:space="preserve">SEKRETARIS </v>
      </c>
      <c r="F14" s="21"/>
      <c r="G14" s="21"/>
    </row>
    <row r="15" spans="1:7" ht="22.5" x14ac:dyDescent="0.25">
      <c r="A15" s="17">
        <v>3</v>
      </c>
      <c r="B15" s="17" t="str">
        <f>VLOOKUP(C15,[1]NOMINATIF!$B$7:$C$414,2,0)</f>
        <v>OCTHAVIANI HELENA .S. HALLEY, S.E., M.Si</v>
      </c>
      <c r="C15" s="22" t="s">
        <v>14</v>
      </c>
      <c r="D15" s="19" t="str">
        <f>VLOOKUP(C15,[1]NOMINATIF!$B$7:$D$132,3,0)</f>
        <v>Penata Tingkat I (III/d)</v>
      </c>
      <c r="E15" s="20" t="str">
        <f>VLOOKUP(C15,[1]NOMINATIF!$B$7:$F$150,5,0)</f>
        <v>KEPALA SUB BAGIAN UMUM DAN KEPEGAWAIAN</v>
      </c>
      <c r="F15" s="21"/>
      <c r="G15" s="21"/>
    </row>
    <row r="16" spans="1:7" x14ac:dyDescent="0.25">
      <c r="A16" s="17">
        <v>4</v>
      </c>
      <c r="B16" s="17" t="str">
        <f>VLOOKUP(C16,[1]NOMINATIF!$B$7:$C$414,2,0)</f>
        <v>M.IDIL ILHAM, S.STP</v>
      </c>
      <c r="C16" s="22" t="s">
        <v>15</v>
      </c>
      <c r="D16" s="19" t="str">
        <f>VLOOKUP(C16,[1]NOMINATIF!$B$7:$D$132,3,0)</f>
        <v>Penata (III/c)</v>
      </c>
      <c r="E16" s="20" t="str">
        <f>VLOOKUP(C16,[1]NOMINATIF!$B$7:$F$150,5,0)</f>
        <v>KEPALA SUB BAGIAN PROGRAM</v>
      </c>
      <c r="F16" s="21"/>
      <c r="G16" s="21"/>
    </row>
    <row r="17" spans="1:7" ht="27" x14ac:dyDescent="0.25">
      <c r="A17" s="17">
        <v>5</v>
      </c>
      <c r="B17" s="17" t="str">
        <f>VLOOKUP(C17,[1]NOMINATIF!$B$7:$C$414,2,0)</f>
        <v>PHILOTILA MOPORTEYAU, A.Md</v>
      </c>
      <c r="C17" s="22" t="s">
        <v>16</v>
      </c>
      <c r="D17" s="19" t="str">
        <f>VLOOKUP(C17,[1]NOMINATIF!$B$7:$D$132,3,0)</f>
        <v>Penata Muda Tingkat I (III/b)</v>
      </c>
      <c r="E17" s="20" t="str">
        <f>VLOOKUP(C17,[1]NOMINATIF!$B$7:$F$150,5,0)</f>
        <v>PELAKSANA SUB BAGIAN KEPEGAWAIAN</v>
      </c>
      <c r="F17" s="21"/>
      <c r="G17" s="21"/>
    </row>
    <row r="18" spans="1:7" ht="27" x14ac:dyDescent="0.25">
      <c r="A18" s="17">
        <v>6</v>
      </c>
      <c r="B18" s="17" t="str">
        <f>VLOOKUP(C18,[1]NOMINATIF!$B$7:$C$414,2,0)</f>
        <v>AGUSTINUS ANSANAY, S.H</v>
      </c>
      <c r="C18" s="22" t="s">
        <v>17</v>
      </c>
      <c r="D18" s="19" t="str">
        <f>VLOOKUP(C18,[1]NOMINATIF!$B$7:$D$132,3,0)</f>
        <v>Penata Muda Tingkat I (III/b)</v>
      </c>
      <c r="E18" s="20" t="str">
        <f>VLOOKUP(C18,[1]NOMINATIF!$B$7:$F$150,5,0)</f>
        <v>PELAKSANA SUB BAGIAN PROGRAM</v>
      </c>
      <c r="F18" s="21"/>
      <c r="G18" s="21"/>
    </row>
    <row r="19" spans="1:7" x14ac:dyDescent="0.25">
      <c r="A19" s="17">
        <v>7</v>
      </c>
      <c r="B19" s="17" t="str">
        <f>VLOOKUP(C19,[1]NOMINATIF!$B$7:$C$414,2,0)</f>
        <v>SAMAAR PATTIPI, S.E</v>
      </c>
      <c r="C19" s="22" t="s">
        <v>18</v>
      </c>
      <c r="D19" s="19" t="str">
        <f>VLOOKUP(C19,[1]NOMINATIF!$B$7:$D$132,3,0)</f>
        <v>Penata Muda (III/a)</v>
      </c>
      <c r="E19" s="20" t="str">
        <f>VLOOKUP(C19,[1]NOMINATIF!$B$7:$F$150,5,0)</f>
        <v>PELAKSANA SUB BAGIAN KEUANGAN</v>
      </c>
      <c r="F19" s="21"/>
      <c r="G19" s="21"/>
    </row>
    <row r="20" spans="1:7" x14ac:dyDescent="0.25">
      <c r="A20" s="17">
        <v>8</v>
      </c>
      <c r="B20" s="17" t="str">
        <f>VLOOKUP(C20,[1]NOMINATIF!$B$7:$C$414,2,0)</f>
        <v>DINA VICA MARANI, S.E</v>
      </c>
      <c r="C20" s="22" t="s">
        <v>19</v>
      </c>
      <c r="D20" s="19" t="str">
        <f>VLOOKUP(C20,[1]NOMINATIF!$B$7:$D$132,3,0)</f>
        <v>Penata Muda (III/a)</v>
      </c>
      <c r="E20" s="20" t="str">
        <f>VLOOKUP(C20,[1]NOMINATIF!$B$7:$F$150,5,0)</f>
        <v xml:space="preserve">BENDAHARA PENGELUARAN </v>
      </c>
      <c r="F20" s="21"/>
      <c r="G20" s="21"/>
    </row>
    <row r="21" spans="1:7" x14ac:dyDescent="0.25">
      <c r="A21" s="17">
        <v>9</v>
      </c>
      <c r="B21" s="17" t="str">
        <f>VLOOKUP(C21,[1]NOMINATIF!$B$7:$C$414,2,0)</f>
        <v>YOHANES R. KELVIN DARU, S.Kom</v>
      </c>
      <c r="C21" s="22" t="s">
        <v>20</v>
      </c>
      <c r="D21" s="19" t="str">
        <f>VLOOKUP(C21,[1]NOMINATIF!$B$7:$D$132,3,0)</f>
        <v>Penata Muda (III/a)</v>
      </c>
      <c r="E21" s="20" t="str">
        <f>VLOOKUP(C21,[1]NOMINATIF!$B$7:$F$150,5,0)</f>
        <v>PRANATA KOMPUTER AHLI PERTAMA</v>
      </c>
      <c r="F21" s="21"/>
      <c r="G21" s="21"/>
    </row>
    <row r="22" spans="1:7" x14ac:dyDescent="0.25">
      <c r="A22" s="17">
        <v>10</v>
      </c>
      <c r="B22" s="17" t="str">
        <f>VLOOKUP(C22,[1]NOMINATIF!$B$7:$C$414,2,0)</f>
        <v>MELISA MARLIN MARANDOF, S.Tr.IP</v>
      </c>
      <c r="C22" s="22" t="s">
        <v>21</v>
      </c>
      <c r="D22" s="19" t="str">
        <f>VLOOKUP(C22,[1]NOMINATIF!$B$7:$D$132,3,0)</f>
        <v>Penata Muda (III/a)</v>
      </c>
      <c r="E22" s="20" t="str">
        <f>VLOOKUP(C22,[1]NOMINATIF!$B$7:$F$150,5,0)</f>
        <v>PELAKSANA SUB BAGIAN KEUANGAN</v>
      </c>
      <c r="F22" s="21"/>
      <c r="G22" s="21"/>
    </row>
    <row r="23" spans="1:7" ht="22.5" x14ac:dyDescent="0.25">
      <c r="A23" s="17">
        <v>11</v>
      </c>
      <c r="B23" s="17" t="str">
        <f>VLOOKUP(C23,[1]NOMINATIF!$B$7:$C$414,2,0)</f>
        <v>BETTY DIANA DUMAIS, S.I.P</v>
      </c>
      <c r="C23" s="22" t="s">
        <v>22</v>
      </c>
      <c r="D23" s="19" t="str">
        <f>VLOOKUP(C23,[1]NOMINATIF!$B$7:$D$132,3,0)</f>
        <v>Penata Muda (III/a)</v>
      </c>
      <c r="E23" s="20" t="str">
        <f>VLOOKUP(C23,[1]NOMINATIF!$B$7:$F$150,5,0)</f>
        <v>PELAKSANA SUB BAGIAN KEUANGAN (PMB. BENDAHARA PENERIMA)</v>
      </c>
      <c r="F23" s="21"/>
      <c r="G23" s="21"/>
    </row>
    <row r="24" spans="1:7" ht="22.5" x14ac:dyDescent="0.25">
      <c r="A24" s="17">
        <v>12</v>
      </c>
      <c r="B24" s="17" t="str">
        <f>VLOOKUP(C24,[1]NOMINATIF!$B$7:$C$414,2,0)</f>
        <v>JEMMY SIMBIAK</v>
      </c>
      <c r="C24" s="22" t="s">
        <v>23</v>
      </c>
      <c r="D24" s="19" t="str">
        <f>VLOOKUP(C24,[1]NOMINATIF!$B$7:$D$132,3,0)</f>
        <v>Pengatur (II/c)</v>
      </c>
      <c r="E24" s="20" t="str">
        <f>VLOOKUP(C24,[1]NOMINATIF!$B$7:$F$150,5,0)</f>
        <v>PELAKSANA SUB BAGIAN KEUANGAN (BDH.PENERIMA)</v>
      </c>
      <c r="F24" s="21"/>
      <c r="G24" s="21"/>
    </row>
    <row r="25" spans="1:7" x14ac:dyDescent="0.25">
      <c r="A25" s="17">
        <v>13</v>
      </c>
      <c r="B25" s="17" t="str">
        <f>VLOOKUP(C25,[1]NOMINATIF!$B$7:$C$414,2,0)</f>
        <v>SELLI MARIA SUMAIKU</v>
      </c>
      <c r="C25" s="22" t="s">
        <v>24</v>
      </c>
      <c r="D25" s="19" t="str">
        <f>VLOOKUP(C25,[1]NOMINATIF!$B$7:$D$132,3,0)</f>
        <v>Pengatur (II/c)</v>
      </c>
      <c r="E25" s="20" t="str">
        <f>VLOOKUP(C25,[1]NOMINATIF!$B$7:$F$150,5,0)</f>
        <v>PELAKSANA SUB BAGIAN PROGRAM</v>
      </c>
      <c r="F25" s="21"/>
      <c r="G25" s="21"/>
    </row>
    <row r="26" spans="1:7" ht="27" x14ac:dyDescent="0.25">
      <c r="A26" s="17">
        <v>14</v>
      </c>
      <c r="B26" s="17" t="str">
        <f>VLOOKUP(C26,[1]NOMINATIF!$B$7:$C$414,2,0)</f>
        <v>RITA LIDYA WOMBRISAUW</v>
      </c>
      <c r="C26" s="22" t="s">
        <v>25</v>
      </c>
      <c r="D26" s="19" t="str">
        <f>VLOOKUP(C26,[1]NOMINATIF!$B$7:$D$132,3,0)</f>
        <v>Pengatur Muda Tingkat I (II/b)</v>
      </c>
      <c r="E26" s="20" t="str">
        <f>VLOOKUP(C26,[1]NOMINATIF!$B$7:$F$150,5,0)</f>
        <v>PELAKSANA SUB BAGIAN UMUM (BENDAHARA BARANG)</v>
      </c>
      <c r="F26" s="21"/>
      <c r="G26" s="21"/>
    </row>
    <row r="27" spans="1:7" x14ac:dyDescent="0.25">
      <c r="A27" s="17">
        <v>15</v>
      </c>
      <c r="B27" s="17" t="str">
        <f>VLOOKUP(C27,[1]NOMINATIF!$B$7:$C$414,2,0)</f>
        <v>WIDIA SUMADI, S.E</v>
      </c>
      <c r="C27" s="22" t="s">
        <v>26</v>
      </c>
      <c r="D27" s="19" t="str">
        <f>VLOOKUP(C27,[1]NOMINATIF!$B$7:$D$132,3,0)</f>
        <v>PPPK/GOL. IX</v>
      </c>
      <c r="E27" s="20" t="str">
        <f>VLOOKUP(C27,[1]NOMINATIF!$B$7:$F$150,5,0)</f>
        <v>PELAKSANA SUB BAGIAN KEUANGAN</v>
      </c>
      <c r="F27" s="21"/>
      <c r="G27" s="21"/>
    </row>
    <row r="28" spans="1:7" x14ac:dyDescent="0.25">
      <c r="A28" s="17">
        <v>16</v>
      </c>
      <c r="B28" s="17" t="str">
        <f>VLOOKUP(C28,[1]NOMINATIF!$B$7:$C$414,2,0)</f>
        <v>CHRISYE ASTERINA, S.E</v>
      </c>
      <c r="C28" s="22" t="s">
        <v>27</v>
      </c>
      <c r="D28" s="19" t="str">
        <f>VLOOKUP(C28,[1]NOMINATIF!$B$7:$D$132,3,0)</f>
        <v>PPPK/GOL. IX</v>
      </c>
      <c r="E28" s="20" t="str">
        <f>VLOOKUP(C28,[1]NOMINATIF!$B$7:$F$150,5,0)</f>
        <v>PELAKSANA SUB BAGIAN UMUM</v>
      </c>
      <c r="F28" s="21"/>
      <c r="G28" s="21"/>
    </row>
    <row r="29" spans="1:7" x14ac:dyDescent="0.25">
      <c r="A29" s="17">
        <v>17</v>
      </c>
      <c r="B29" s="17" t="str">
        <f>VLOOKUP(C29,[1]NOMINATIF!$B$7:$C$414,2,0)</f>
        <v>FREJON M. SAKLIL, S.Sos</v>
      </c>
      <c r="C29" s="22" t="s">
        <v>28</v>
      </c>
      <c r="D29" s="19" t="str">
        <f>VLOOKUP(C29,[1]NOMINATIF!$B$7:$D$132,3,0)</f>
        <v>PPPK/GOL. IX</v>
      </c>
      <c r="E29" s="20" t="str">
        <f>VLOOKUP(C29,[1]NOMINATIF!$B$7:$F$150,5,0)</f>
        <v>PELAKSANA SUB BAGIAN UMUM</v>
      </c>
      <c r="F29" s="21"/>
      <c r="G29" s="21"/>
    </row>
    <row r="30" spans="1:7" x14ac:dyDescent="0.25">
      <c r="A30" s="17">
        <v>18</v>
      </c>
      <c r="B30" s="17" t="str">
        <f>VLOOKUP(C30,[1]NOMINATIF!$B$7:$C$414,2,0)</f>
        <v>MARIA RESTA LEISUBUN, S.S</v>
      </c>
      <c r="C30" s="22" t="s">
        <v>29</v>
      </c>
      <c r="D30" s="19" t="str">
        <f>VLOOKUP(C30,[1]NOMINATIF!$B$7:$D$132,3,0)</f>
        <v>PPPK/GOL. IX</v>
      </c>
      <c r="E30" s="20" t="str">
        <f>VLOOKUP(C30,[1]NOMINATIF!$B$7:$F$150,5,0)</f>
        <v>PELAKSANA SUB BAGIAN KEPEGAWAIAN</v>
      </c>
      <c r="F30" s="21"/>
      <c r="G30" s="21"/>
    </row>
    <row r="31" spans="1:7" ht="22.5" x14ac:dyDescent="0.25">
      <c r="A31" s="17">
        <v>19</v>
      </c>
      <c r="B31" s="17" t="str">
        <f>VLOOKUP(C31,[1]NOMINATIF!$B$7:$C$414,2,0)</f>
        <v>PRISILIA YULIANA SAHELANGI, S.E</v>
      </c>
      <c r="C31" s="22" t="s">
        <v>30</v>
      </c>
      <c r="D31" s="19" t="str">
        <f>VLOOKUP(C31,[1]NOMINATIF!$B$7:$D$132,3,0)</f>
        <v>PPPK/GOL. IX</v>
      </c>
      <c r="E31" s="20" t="str">
        <f>VLOOKUP(C31,[1]NOMINATIF!$B$7:$F$150,5,0)</f>
        <v>PELAKSANA SUB BIDANG RETRIBUSI DAN PENDAPATAN DAERAH LAINNYA</v>
      </c>
      <c r="F31" s="21"/>
      <c r="G31" s="21"/>
    </row>
    <row r="32" spans="1:7" x14ac:dyDescent="0.25">
      <c r="A32" s="17">
        <v>20</v>
      </c>
      <c r="B32" s="17" t="str">
        <f>VLOOKUP(C32,[1]NOMINATIF!$B$7:$C$414,2,0)</f>
        <v>MARGARETA YULITA SOLO, A.Md</v>
      </c>
      <c r="C32" s="22" t="s">
        <v>31</v>
      </c>
      <c r="D32" s="19" t="str">
        <f>VLOOKUP(C32,[1]NOMINATIF!$B$7:$D$132,3,0)</f>
        <v>PPPK/GOL. IX</v>
      </c>
      <c r="E32" s="20" t="str">
        <f>VLOOKUP(C32,[1]NOMINATIF!$B$7:$F$150,5,0)</f>
        <v>PELAKSANA SUB BAGIAN KEPEGAWAIAN</v>
      </c>
      <c r="F32" s="21"/>
      <c r="G32" s="21"/>
    </row>
    <row r="33" spans="1:7" x14ac:dyDescent="0.25">
      <c r="A33" s="17">
        <v>21</v>
      </c>
      <c r="B33" s="17" t="str">
        <f>VLOOKUP(C33,[1]NOMINATIF!$B$7:$C$414,2,0)</f>
        <v>MARIA MAGDALENA WAGAB</v>
      </c>
      <c r="C33" s="22" t="s">
        <v>32</v>
      </c>
      <c r="D33" s="19" t="str">
        <f>VLOOKUP(C33,[1]NOMINATIF!$B$7:$D$132,3,0)</f>
        <v>PPPK/GOL. V</v>
      </c>
      <c r="E33" s="20" t="str">
        <f>VLOOKUP(C33,[1]NOMINATIF!$B$7:$F$150,5,0)</f>
        <v>PELAKSANA SUB BAGIAN UMUM</v>
      </c>
      <c r="F33" s="21"/>
      <c r="G33" s="21"/>
    </row>
    <row r="34" spans="1:7" x14ac:dyDescent="0.25">
      <c r="A34" s="17">
        <v>22</v>
      </c>
      <c r="B34" s="17" t="str">
        <f>VLOOKUP(C34,[1]NOMINATIF!$B$7:$C$414,2,0)</f>
        <v>PLASIDUS MAWIYAKO</v>
      </c>
      <c r="C34" s="23" t="s">
        <v>33</v>
      </c>
      <c r="D34" s="19" t="str">
        <f>VLOOKUP(C34,[1]NOMINATIF!$B$7:$D$132,3,0)</f>
        <v>PPPK/GOL. V</v>
      </c>
      <c r="E34" s="20" t="str">
        <f>VLOOKUP(C34,[1]NOMINATIF!$B$7:$F$150,5,0)</f>
        <v>PELAKSANA SUB BAGIAN UMUM</v>
      </c>
      <c r="F34" s="21"/>
      <c r="G34" s="21"/>
    </row>
    <row r="35" spans="1:7" x14ac:dyDescent="0.25">
      <c r="A35" s="17">
        <v>23</v>
      </c>
      <c r="B35" s="17" t="str">
        <f>VLOOKUP(C35,[1]NOMINATIF!$B$7:$C$414,2,0)</f>
        <v>SIMON SIMAHA</v>
      </c>
      <c r="C35" s="23" t="s">
        <v>34</v>
      </c>
      <c r="D35" s="19" t="str">
        <f>VLOOKUP(C35,[1]NOMINATIF!$B$7:$D$132,3,0)</f>
        <v>PPPK/GOL. V</v>
      </c>
      <c r="E35" s="20" t="str">
        <f>VLOOKUP(C35,[1]NOMINATIF!$B$7:$F$150,5,0)</f>
        <v>PELAKSANA SUB BIDANG UMUM</v>
      </c>
      <c r="F35" s="21"/>
      <c r="G35" s="21"/>
    </row>
    <row r="36" spans="1:7" x14ac:dyDescent="0.25">
      <c r="A36" s="24"/>
      <c r="B36" s="24"/>
      <c r="C36" s="25"/>
      <c r="D36" s="26"/>
      <c r="E36" s="4"/>
      <c r="F36" s="27"/>
      <c r="G36" s="27"/>
    </row>
    <row r="37" spans="1:7" x14ac:dyDescent="0.25">
      <c r="A37" s="24"/>
      <c r="B37" s="24"/>
      <c r="C37" s="25"/>
      <c r="D37" s="26"/>
      <c r="E37" s="4"/>
      <c r="F37" s="27"/>
      <c r="G37" s="27"/>
    </row>
    <row r="38" spans="1:7" x14ac:dyDescent="0.25">
      <c r="A38" s="24"/>
      <c r="B38" s="24"/>
      <c r="C38" s="25"/>
      <c r="D38" s="26"/>
      <c r="E38" s="4"/>
      <c r="F38" s="27"/>
      <c r="G38" s="27"/>
    </row>
    <row r="39" spans="1:7" x14ac:dyDescent="0.25">
      <c r="A39" s="24"/>
      <c r="B39" s="24"/>
      <c r="C39" s="25"/>
      <c r="D39" s="26"/>
      <c r="E39" s="4"/>
      <c r="F39" s="27"/>
      <c r="G39" s="27"/>
    </row>
    <row r="40" spans="1:7" x14ac:dyDescent="0.25">
      <c r="A40" s="24"/>
      <c r="B40" s="24"/>
      <c r="C40" s="25"/>
      <c r="D40" s="26"/>
      <c r="E40" s="4"/>
      <c r="F40" s="27"/>
      <c r="G40" s="27"/>
    </row>
    <row r="41" spans="1:7" x14ac:dyDescent="0.25">
      <c r="A41" s="24"/>
      <c r="B41" s="24"/>
      <c r="C41" s="25"/>
      <c r="D41" s="26"/>
      <c r="E41" s="4"/>
      <c r="F41" s="27"/>
      <c r="G41" s="27"/>
    </row>
    <row r="42" spans="1:7" x14ac:dyDescent="0.25">
      <c r="A42" s="24"/>
      <c r="B42" s="24"/>
      <c r="C42" s="25"/>
      <c r="D42" s="26"/>
      <c r="E42" s="4"/>
      <c r="F42" s="27"/>
      <c r="G42" s="27"/>
    </row>
    <row r="43" spans="1:7" x14ac:dyDescent="0.25">
      <c r="A43" s="24"/>
      <c r="B43" s="24"/>
      <c r="C43" s="25"/>
      <c r="D43" s="26"/>
      <c r="E43" s="4"/>
      <c r="F43" s="27"/>
      <c r="G43" s="27"/>
    </row>
    <row r="44" spans="1:7" x14ac:dyDescent="0.25">
      <c r="A44" s="1"/>
      <c r="B44" s="1"/>
      <c r="C44" s="28"/>
      <c r="D44" s="3"/>
      <c r="E44" s="4"/>
      <c r="F44" s="2"/>
      <c r="G44" s="2"/>
    </row>
    <row r="45" spans="1:7" ht="24" x14ac:dyDescent="0.25">
      <c r="A45" s="29" t="s">
        <v>35</v>
      </c>
      <c r="B45" s="30"/>
      <c r="C45" s="30"/>
      <c r="D45" s="30"/>
      <c r="E45" s="30"/>
      <c r="F45" s="30"/>
      <c r="G45" s="30"/>
    </row>
    <row r="46" spans="1:7" ht="15.75" x14ac:dyDescent="0.25">
      <c r="A46" s="13" t="s">
        <v>3</v>
      </c>
      <c r="B46" s="14" t="s">
        <v>4</v>
      </c>
      <c r="C46" s="14" t="s">
        <v>5</v>
      </c>
      <c r="D46" s="16" t="s">
        <v>6</v>
      </c>
      <c r="E46" s="16" t="s">
        <v>7</v>
      </c>
      <c r="F46" s="14" t="s">
        <v>8</v>
      </c>
      <c r="G46" s="14" t="s">
        <v>9</v>
      </c>
    </row>
    <row r="47" spans="1:7" x14ac:dyDescent="0.25">
      <c r="A47" s="17">
        <v>24</v>
      </c>
      <c r="B47" s="17" t="str">
        <f>VLOOKUP(C47,[1]NOMINATIF!$B$7:$C$414,2,0)</f>
        <v>MELIANUS SELITUBUN, S.E., M.Si</v>
      </c>
      <c r="C47" s="22" t="s">
        <v>36</v>
      </c>
      <c r="D47" s="19" t="str">
        <f>VLOOKUP(C47,[1]NOMINATIF!$B$7:$D$132,3,0)</f>
        <v>Penata Tingkat I (III/d)</v>
      </c>
      <c r="E47" s="20" t="str">
        <f>VLOOKUP(C47,[1]NOMINATIF!$B$7:$F$150,5,0)</f>
        <v>KEPALA BIDANG PAJAK</v>
      </c>
      <c r="F47" s="21"/>
      <c r="G47" s="21"/>
    </row>
    <row r="48" spans="1:7" ht="22.5" x14ac:dyDescent="0.25">
      <c r="A48" s="17">
        <v>25</v>
      </c>
      <c r="B48" s="17" t="str">
        <f>VLOOKUP(C48,[1]NOMINATIF!$B$7:$C$414,2,0)</f>
        <v>MUCH. AGUS SOFYAN, S.E</v>
      </c>
      <c r="C48" s="31" t="s">
        <v>37</v>
      </c>
      <c r="D48" s="19" t="str">
        <f>VLOOKUP(C48,[1]NOMINATIF!$B$7:$D$132,3,0)</f>
        <v>Penata Tingkat I (III/d)</v>
      </c>
      <c r="E48" s="20" t="str">
        <f>VLOOKUP(C48,[1]NOMINATIF!$B$7:$F$150,5,0)</f>
        <v>KEPALA SUB BIDANG PENDATAAN DAN PENDAFTARAN</v>
      </c>
      <c r="F48" s="21"/>
      <c r="G48" s="21"/>
    </row>
    <row r="49" spans="1:7" ht="27" x14ac:dyDescent="0.25">
      <c r="A49" s="17">
        <v>26</v>
      </c>
      <c r="B49" s="17" t="str">
        <f>VLOOKUP(C49,[1]NOMINATIF!$B$7:$C$414,2,0)</f>
        <v>AGUS RONAL AMOS UAMANG, S.H</v>
      </c>
      <c r="C49" s="22" t="s">
        <v>38</v>
      </c>
      <c r="D49" s="19" t="str">
        <f>VLOOKUP(C49,[1]NOMINATIF!$B$7:$D$132,3,0)</f>
        <v>Penata Muda Tingkat I (III/b)</v>
      </c>
      <c r="E49" s="20" t="str">
        <f>VLOOKUP(C49,[1]NOMINATIF!$B$7:$F$150,5,0)</f>
        <v>Plt. KEPALA SUB BIDANG PEMERIKSA PAJAK, KONSULTASI, KEBERATAN DAN BANDING</v>
      </c>
      <c r="F49" s="21"/>
      <c r="G49" s="21"/>
    </row>
    <row r="50" spans="1:7" ht="22.5" x14ac:dyDescent="0.25">
      <c r="A50" s="17">
        <v>27</v>
      </c>
      <c r="B50" s="17" t="str">
        <f>VLOOKUP(C50,[1]NOMINATIF!$B$7:$C$414,2,0)</f>
        <v>YOPPY KEMONG, S.H</v>
      </c>
      <c r="C50" s="32" t="s">
        <v>39</v>
      </c>
      <c r="D50" s="19" t="str">
        <f>VLOOKUP(C50,[1]NOMINATIF!$B$7:$D$132,3,0)</f>
        <v>Penata (III/c)</v>
      </c>
      <c r="E50" s="20" t="str">
        <f>VLOOKUP(C50,[1]NOMINATIF!$B$7:$F$150,5,0)</f>
        <v>Plt. KEPALA SUB BIDANG PERHITUNGAN DAN PENETAPAN PAJAK DAERAH</v>
      </c>
      <c r="F50" s="21"/>
      <c r="G50" s="21"/>
    </row>
    <row r="51" spans="1:7" ht="27" x14ac:dyDescent="0.25">
      <c r="A51" s="17">
        <v>28</v>
      </c>
      <c r="B51" s="17" t="str">
        <f>VLOOKUP(C51,[1]NOMINATIF!$B$7:$C$414,2,0)</f>
        <v>JONDRY UKRU, S.E.,M.Si</v>
      </c>
      <c r="C51" s="31" t="s">
        <v>40</v>
      </c>
      <c r="D51" s="19" t="str">
        <f>VLOOKUP(C51,[1]NOMINATIF!$B$7:$D$132,3,0)</f>
        <v>Penata Muda Tingkat I (III/b)</v>
      </c>
      <c r="E51" s="20" t="str">
        <f>VLOOKUP(C51,[1]NOMINATIF!$B$7:$F$150,5,0)</f>
        <v>PELAKSANA SUB BIDANG PEMERIKSA PAJAK, KONSULTASI, KEBERATAN DAN BANDING</v>
      </c>
      <c r="F51" s="21"/>
      <c r="G51" s="21"/>
    </row>
    <row r="52" spans="1:7" ht="27" x14ac:dyDescent="0.25">
      <c r="A52" s="17">
        <v>29</v>
      </c>
      <c r="B52" s="17" t="str">
        <f>VLOOKUP(C52,[1]NOMINATIF!$B$7:$C$414,2,0)</f>
        <v>ADRIANUS R. DETTU, S.E</v>
      </c>
      <c r="C52" s="22" t="s">
        <v>41</v>
      </c>
      <c r="D52" s="19" t="str">
        <f>VLOOKUP(C52,[1]NOMINATIF!$B$7:$D$132,3,0)</f>
        <v>Penata Muda Tingkat I (III/b)</v>
      </c>
      <c r="E52" s="20" t="str">
        <f>VLOOKUP(C52,[1]NOMINATIF!$B$7:$F$150,5,0)</f>
        <v>PELAKSANA SUB BIDANG PERHITUNGAN DAN PENETAPAN PAJAK DAERAH</v>
      </c>
      <c r="F52" s="21"/>
      <c r="G52" s="21"/>
    </row>
    <row r="53" spans="1:7" ht="27" x14ac:dyDescent="0.25">
      <c r="A53" s="17">
        <v>30</v>
      </c>
      <c r="B53" s="17" t="str">
        <f>VLOOKUP(C53,[1]NOMINATIF!$B$7:$C$414,2,0)</f>
        <v>RISMA PRIANTI SERTI, S.Kom,. M.Si</v>
      </c>
      <c r="C53" s="22" t="s">
        <v>42</v>
      </c>
      <c r="D53" s="19" t="str">
        <f>VLOOKUP(C53,[1]NOMINATIF!$B$7:$D$132,3,0)</f>
        <v>Penata Muda Tingkat I (III/b)</v>
      </c>
      <c r="E53" s="20" t="str">
        <f>VLOOKUP(C53,[1]NOMINATIF!$B$7:$F$150,5,0)</f>
        <v>PELAKSANA SUB BIDANG  PENDATAAN DAN PENDAFTARAN PAJAK</v>
      </c>
      <c r="F53" s="21"/>
      <c r="G53" s="21"/>
    </row>
    <row r="54" spans="1:7" ht="27" x14ac:dyDescent="0.25">
      <c r="A54" s="17">
        <v>31</v>
      </c>
      <c r="B54" s="17" t="str">
        <f>VLOOKUP(C54,[1]NOMINATIF!$B$7:$C$414,2,0)</f>
        <v>PENEGI DOLAME, S.E,. M.Si</v>
      </c>
      <c r="C54" s="22" t="s">
        <v>43</v>
      </c>
      <c r="D54" s="19" t="str">
        <f>VLOOKUP(C54,[1]NOMINATIF!$B$7:$D$132,3,0)</f>
        <v>Penata Muda Tingkat I (III/b)</v>
      </c>
      <c r="E54" s="20" t="str">
        <f>VLOOKUP(C54,[1]NOMINATIF!$B$7:$F$150,5,0)</f>
        <v>PELAKSANA SUB BIDANG PENDATAAN DAN PENDAFTARAN PAJAK</v>
      </c>
      <c r="F54" s="21"/>
      <c r="G54" s="21"/>
    </row>
    <row r="55" spans="1:7" ht="27" x14ac:dyDescent="0.25">
      <c r="A55" s="17">
        <v>32</v>
      </c>
      <c r="B55" s="17" t="str">
        <f>VLOOKUP(C55,[1]NOMINATIF!$B$7:$C$414,2,0)</f>
        <v>RIA APRILIA M. HUSNI, S.E</v>
      </c>
      <c r="C55" s="22" t="s">
        <v>44</v>
      </c>
      <c r="D55" s="19" t="str">
        <f>VLOOKUP(C55,[1]NOMINATIF!$B$7:$D$132,3,0)</f>
        <v>Penata Muda Tingkat I (III/b)</v>
      </c>
      <c r="E55" s="20" t="str">
        <f>VLOOKUP(C55,[1]NOMINATIF!$B$7:$F$150,5,0)</f>
        <v>PELAKSANA SUB BIDANG PENDATAAN DAN PENDAFTARAN PAJAK</v>
      </c>
      <c r="F55" s="21"/>
      <c r="G55" s="21"/>
    </row>
    <row r="56" spans="1:7" ht="22.5" x14ac:dyDescent="0.25">
      <c r="A56" s="17">
        <v>33</v>
      </c>
      <c r="B56" s="17" t="str">
        <f>VLOOKUP(C56,[1]NOMINATIF!$B$7:$C$414,2,0)</f>
        <v>HERRY H. TIMANG, S.E</v>
      </c>
      <c r="C56" s="22" t="s">
        <v>45</v>
      </c>
      <c r="D56" s="19" t="str">
        <f>VLOOKUP(C56,[1]NOMINATIF!$B$7:$D$132,3,0)</f>
        <v>Penata Muda (III/a)</v>
      </c>
      <c r="E56" s="20" t="str">
        <f>VLOOKUP(C56,[1]NOMINATIF!$B$7:$F$150,5,0)</f>
        <v>PELAKSANA SUB BIDANG PEMERIKSA PAJAK, KONSULTASI KEBERATAN DAN BANDING</v>
      </c>
      <c r="F56" s="21"/>
      <c r="G56" s="21"/>
    </row>
    <row r="57" spans="1:7" ht="22.5" x14ac:dyDescent="0.25">
      <c r="A57" s="17">
        <v>34</v>
      </c>
      <c r="B57" s="17" t="str">
        <f>VLOOKUP(C57,[1]NOMINATIF!$B$7:$C$414,2,0)</f>
        <v>JONHER KENAN WAROMI, S.E</v>
      </c>
      <c r="C57" s="22" t="s">
        <v>46</v>
      </c>
      <c r="D57" s="19" t="str">
        <f>VLOOKUP(C57,[1]NOMINATIF!$B$7:$D$132,3,0)</f>
        <v>Penata Muda (III/a)</v>
      </c>
      <c r="E57" s="20" t="str">
        <f>VLOOKUP(C57,[1]NOMINATIF!$B$7:$F$150,5,0)</f>
        <v>PELAKSANA SUB BIDANG PERHITUNGAN DAN PENETAPAN PAJAK DAERAH</v>
      </c>
      <c r="F57" s="21"/>
      <c r="G57" s="21"/>
    </row>
    <row r="58" spans="1:7" ht="22.5" x14ac:dyDescent="0.25">
      <c r="A58" s="17">
        <v>35</v>
      </c>
      <c r="B58" s="17" t="str">
        <f>VLOOKUP(C58,[1]NOMINATIF!$B$7:$C$414,2,0)</f>
        <v>RUSTAM KAPAUR</v>
      </c>
      <c r="C58" s="22" t="s">
        <v>47</v>
      </c>
      <c r="D58" s="19" t="str">
        <f>VLOOKUP(C58,[1]NOMINATIF!$B$7:$D$132,3,0)</f>
        <v>Pengatur (II/c)</v>
      </c>
      <c r="E58" s="20" t="str">
        <f>VLOOKUP(C58,[1]NOMINATIF!$B$7:$F$150,5,0)</f>
        <v>PELAKSANA SUB BIDANG PERHITUNGAN DAN PENETAPAN PAJAK DAERAH</v>
      </c>
      <c r="F58" s="21"/>
      <c r="G58" s="21"/>
    </row>
    <row r="59" spans="1:7" ht="22.5" x14ac:dyDescent="0.25">
      <c r="A59" s="17">
        <v>36</v>
      </c>
      <c r="B59" s="17" t="str">
        <f>VLOOKUP(C59,[1]NOMINATIF!$B$7:$C$414,2,0)</f>
        <v>TITUS MOPORTEYAU, A.Md</v>
      </c>
      <c r="C59" s="22" t="s">
        <v>48</v>
      </c>
      <c r="D59" s="19" t="str">
        <f>VLOOKUP(C59,[1]NOMINATIF!$B$7:$D$132,3,0)</f>
        <v>Pengatur (II/c)</v>
      </c>
      <c r="E59" s="20" t="str">
        <f>VLOOKUP(C59,[1]NOMINATIF!$B$7:$F$150,5,0)</f>
        <v>PELAKSANA SUB BIDANG PERHITUNGAN DAN PENETAPAN PAJAK DAERAH</v>
      </c>
      <c r="F59" s="21"/>
      <c r="G59" s="21"/>
    </row>
    <row r="60" spans="1:7" ht="22.5" x14ac:dyDescent="0.25">
      <c r="A60" s="17">
        <v>37</v>
      </c>
      <c r="B60" s="17" t="str">
        <f>VLOOKUP(C60,[1]NOMINATIF!$B$7:$C$414,2,0)</f>
        <v>SUPARDI</v>
      </c>
      <c r="C60" s="33" t="s">
        <v>49</v>
      </c>
      <c r="D60" s="19" t="str">
        <f>VLOOKUP(C60,[1]NOMINATIF!$B$7:$D$132,3,0)</f>
        <v>Pengatur Muda (II/a)</v>
      </c>
      <c r="E60" s="20" t="str">
        <f>VLOOKUP(C60,[1]NOMINATIF!$B$7:$F$150,5,0)</f>
        <v>PELAKSANA SUB BIDANG PEMERIKSA PAJAK, KONSULTASI, KEBERATAN DAN BANDING</v>
      </c>
      <c r="F60" s="21"/>
      <c r="G60" s="21"/>
    </row>
    <row r="61" spans="1:7" ht="22.5" x14ac:dyDescent="0.25">
      <c r="A61" s="17">
        <v>38</v>
      </c>
      <c r="B61" s="17" t="str">
        <f>VLOOKUP(C61,[1]NOMINATIF!$B$7:$C$414,2,0)</f>
        <v>BENJAMIN TUTUPAHAR</v>
      </c>
      <c r="C61" s="22" t="s">
        <v>50</v>
      </c>
      <c r="D61" s="19" t="str">
        <f>VLOOKUP(C61,[1]NOMINATIF!$B$7:$D$132,3,0)</f>
        <v>Pengatur Muda (II/a)</v>
      </c>
      <c r="E61" s="20" t="str">
        <f>VLOOKUP(C61,[1]NOMINATIF!$B$7:$F$150,5,0)</f>
        <v>PELAKSANA SUB BIDANG PERHITUNGAN DAN PENETAPAN PAJAK DAERAH</v>
      </c>
      <c r="F61" s="21"/>
      <c r="G61" s="21"/>
    </row>
    <row r="62" spans="1:7" ht="22.5" x14ac:dyDescent="0.25">
      <c r="A62" s="17">
        <v>39</v>
      </c>
      <c r="B62" s="17" t="str">
        <f>VLOOKUP(C62,[1]NOMINATIF!$B$7:$C$414,2,0)</f>
        <v>ELVIS YULIANTO ELMAS, S.E</v>
      </c>
      <c r="C62" s="22" t="s">
        <v>51</v>
      </c>
      <c r="D62" s="19" t="str">
        <f>VLOOKUP(C62,[1]NOMINATIF!$B$7:$D$132,3,0)</f>
        <v>Penata Muda (III/a)</v>
      </c>
      <c r="E62" s="20" t="str">
        <f>VLOOKUP(C62,[1]NOMINATIF!$B$7:$F$150,5,0)</f>
        <v>PELAKSANA SUB BIDANG PERHITUNGAN DAN PENETAPAN PAJAK DAERAH</v>
      </c>
      <c r="F62" s="21"/>
      <c r="G62" s="21"/>
    </row>
    <row r="63" spans="1:7" x14ac:dyDescent="0.25">
      <c r="A63" s="17">
        <v>40</v>
      </c>
      <c r="B63" s="17" t="str">
        <f>VLOOKUP(C63,[1]NOMINATIF!$B$7:$C$414,2,0)</f>
        <v>PISON B. MOM. S.Kom</v>
      </c>
      <c r="C63" s="34" t="s">
        <v>52</v>
      </c>
      <c r="D63" s="19" t="str">
        <f>VLOOKUP(C63,[1]NOMINATIF!$B$7:$D$132,3,0)</f>
        <v>Penata Muda (III/a)</v>
      </c>
      <c r="E63" s="20" t="str">
        <f>VLOOKUP(C63,[1]NOMINATIF!$B$7:$F$150,5,0)</f>
        <v>PRANATA KOMPUTER AHLI PERTAMA</v>
      </c>
      <c r="F63" s="21"/>
      <c r="G63" s="21"/>
    </row>
    <row r="64" spans="1:7" ht="22.5" x14ac:dyDescent="0.25">
      <c r="A64" s="17">
        <v>41</v>
      </c>
      <c r="B64" s="17" t="str">
        <f>VLOOKUP(C64,[1]NOMINATIF!$B$7:$C$414,2,0)</f>
        <v>HERMAN YAWA, S.E</v>
      </c>
      <c r="C64" s="34" t="s">
        <v>53</v>
      </c>
      <c r="D64" s="19" t="str">
        <f>VLOOKUP(C64,[1]NOMINATIF!$B$7:$D$132,3,0)</f>
        <v>CPNS (III/a)</v>
      </c>
      <c r="E64" s="20" t="str">
        <f>VLOOKUP(C64,[1]NOMINATIF!$B$7:$F$150,5,0)</f>
        <v>PELAKSANA SUB BIDANG PENDATAAN DAN PENDAFTARAN PAJAK</v>
      </c>
      <c r="F64" s="21"/>
      <c r="G64" s="21"/>
    </row>
    <row r="65" spans="1:7" ht="22.5" x14ac:dyDescent="0.25">
      <c r="A65" s="17">
        <v>42</v>
      </c>
      <c r="B65" s="17" t="str">
        <f>VLOOKUP(C65,[1]NOMINATIF!$B$7:$C$414,2,0)</f>
        <v>NOVALINCE KOGOYA, S.I.P</v>
      </c>
      <c r="C65" s="34" t="s">
        <v>54</v>
      </c>
      <c r="D65" s="19" t="str">
        <f>VLOOKUP(C65,[1]NOMINATIF!$B$7:$D$132,3,0)</f>
        <v>CPNS (III/a)</v>
      </c>
      <c r="E65" s="20" t="str">
        <f>VLOOKUP(C65,[1]NOMINATIF!$B$7:$F$150,5,0)</f>
        <v>PELAKSANA SUB BIDANG PENDATAAN DAN PENDAFTARAN PAJAK</v>
      </c>
      <c r="F65" s="21"/>
      <c r="G65" s="21"/>
    </row>
    <row r="66" spans="1:7" ht="22.5" x14ac:dyDescent="0.25">
      <c r="A66" s="17">
        <v>43</v>
      </c>
      <c r="B66" s="17" t="str">
        <f>VLOOKUP(C66,[1]NOMINATIF!$B$7:$C$414,2,0)</f>
        <v>CHRISTIAN R. S. LESILOLO, S.Sos., M.Si</v>
      </c>
      <c r="C66" s="34" t="s">
        <v>55</v>
      </c>
      <c r="D66" s="19" t="str">
        <f>VLOOKUP(C66,[1]NOMINATIF!$B$7:$D$132,3,0)</f>
        <v>PPPK/GOL. IX</v>
      </c>
      <c r="E66" s="20" t="str">
        <f>VLOOKUP(C66,[1]NOMINATIF!$B$7:$F$150,5,0)</f>
        <v>PELAKSANA SUB BIDANG PENDATAAN DAN PENDAFTARAN PAJAK</v>
      </c>
      <c r="F66" s="21"/>
      <c r="G66" s="21"/>
    </row>
    <row r="67" spans="1:7" ht="22.5" x14ac:dyDescent="0.25">
      <c r="A67" s="17">
        <v>44</v>
      </c>
      <c r="B67" s="17" t="str">
        <f>VLOOKUP(C67,[1]NOMINATIF!$B$7:$C$414,2,0)</f>
        <v>ESTER WASTY WABISER, S.E</v>
      </c>
      <c r="C67" s="34" t="s">
        <v>56</v>
      </c>
      <c r="D67" s="19" t="str">
        <f>VLOOKUP(C67,[1]NOMINATIF!$B$7:$D$132,3,0)</f>
        <v>PPPK/GOL. IX</v>
      </c>
      <c r="E67" s="20" t="str">
        <f>VLOOKUP(C67,[1]NOMINATIF!$B$7:$F$150,5,0)</f>
        <v>PELAKSANA SUB BIDANG PEMERIKSA PAJAK, KONSULTASI KEBERATAN DAN BANDING</v>
      </c>
      <c r="F67" s="21"/>
      <c r="G67" s="21"/>
    </row>
    <row r="68" spans="1:7" ht="22.5" x14ac:dyDescent="0.25">
      <c r="A68" s="17">
        <v>45</v>
      </c>
      <c r="B68" s="17" t="str">
        <f>VLOOKUP(C68,[1]NOMINATIF!$B$7:$C$414,2,0)</f>
        <v>WILSON SALAKORY, S.T</v>
      </c>
      <c r="C68" s="34" t="s">
        <v>57</v>
      </c>
      <c r="D68" s="19" t="str">
        <f>VLOOKUP(C68,[1]NOMINATIF!$B$7:$D$132,3,0)</f>
        <v>PPPK/GOL. IX</v>
      </c>
      <c r="E68" s="20" t="str">
        <f>VLOOKUP(C68,[1]NOMINATIF!$B$7:$F$150,5,0)</f>
        <v>PELAKSANA SUB BIDANG PENDATAAN DAN PENDAFTARAN PAJAK</v>
      </c>
      <c r="F68" s="21"/>
      <c r="G68" s="21"/>
    </row>
    <row r="69" spans="1:7" ht="22.5" x14ac:dyDescent="0.25">
      <c r="A69" s="17">
        <v>46</v>
      </c>
      <c r="B69" s="17" t="str">
        <f>VLOOKUP(C69,[1]NOMINATIF!$B$7:$C$414,2,0)</f>
        <v>RESKA LILINGCIA AMBA RONTING, S.E</v>
      </c>
      <c r="C69" s="34" t="s">
        <v>58</v>
      </c>
      <c r="D69" s="19" t="str">
        <f>VLOOKUP(C69,[1]NOMINATIF!$B$7:$D$132,3,0)</f>
        <v>PPPK/GOL. IX</v>
      </c>
      <c r="E69" s="20" t="str">
        <f>VLOOKUP(C69,[1]NOMINATIF!$B$7:$F$150,5,0)</f>
        <v>PELAKSANA SUB BIDANG PENDATAAN DAN PENDAFTARAN PAJAK</v>
      </c>
      <c r="F69" s="21"/>
      <c r="G69" s="21"/>
    </row>
    <row r="70" spans="1:7" ht="22.5" x14ac:dyDescent="0.25">
      <c r="A70" s="17">
        <v>47</v>
      </c>
      <c r="B70" s="17" t="str">
        <f>VLOOKUP(C70,[1]NOMINATIF!$B$7:$C$414,2,0)</f>
        <v>IMELDA WINDAYANA SALASSA', S.E</v>
      </c>
      <c r="C70" s="34" t="s">
        <v>59</v>
      </c>
      <c r="D70" s="19" t="str">
        <f>VLOOKUP(C70,[1]NOMINATIF!$B$7:$D$132,3,0)</f>
        <v>PPPK/GOL. IX</v>
      </c>
      <c r="E70" s="20" t="str">
        <f>VLOOKUP(C70,[1]NOMINATIF!$B$7:$F$150,5,0)</f>
        <v>PELAKSANA SUB BIDANG PENDATAAN DAN PENDAFTARAN PAJAK</v>
      </c>
      <c r="F70" s="21"/>
      <c r="G70" s="21"/>
    </row>
    <row r="71" spans="1:7" ht="22.5" x14ac:dyDescent="0.25">
      <c r="A71" s="17">
        <v>48</v>
      </c>
      <c r="B71" s="17" t="str">
        <f>VLOOKUP(C71,[1]NOMINATIF!$B$7:$C$414,2,0)</f>
        <v>BEATRIKS JANJAAN, S.E</v>
      </c>
      <c r="C71" s="34" t="s">
        <v>60</v>
      </c>
      <c r="D71" s="19" t="str">
        <f>VLOOKUP(C71,[1]NOMINATIF!$B$7:$D$132,3,0)</f>
        <v>PPPK/GOL. IX</v>
      </c>
      <c r="E71" s="20" t="str">
        <f>VLOOKUP(C71,[1]NOMINATIF!$B$7:$F$150,5,0)</f>
        <v>PELAKSANA SUB BIDANG PENDATAAN DAN PENDAFTARAN PAJAK</v>
      </c>
      <c r="F71" s="21"/>
      <c r="G71" s="21"/>
    </row>
    <row r="72" spans="1:7" ht="22.5" x14ac:dyDescent="0.25">
      <c r="A72" s="17">
        <v>49</v>
      </c>
      <c r="B72" s="17" t="str">
        <f>VLOOKUP(C72,[1]NOMINATIF!$B$7:$C$414,2,0)</f>
        <v>YEFTA TAHRIN</v>
      </c>
      <c r="C72" s="34" t="s">
        <v>61</v>
      </c>
      <c r="D72" s="19" t="str">
        <f>VLOOKUP(C72,[1]NOMINATIF!$B$7:$D$132,3,0)</f>
        <v>PPPK/GOL. V</v>
      </c>
      <c r="E72" s="20" t="str">
        <f>VLOOKUP(C72,[1]NOMINATIF!$B$7:$F$150,5,0)</f>
        <v>PELAKSANA SUB BIDANG PERHITUNGAN DAN PENETAPAN PAJAK DAERAH</v>
      </c>
      <c r="F72" s="21"/>
      <c r="G72" s="21"/>
    </row>
    <row r="73" spans="1:7" ht="22.5" x14ac:dyDescent="0.25">
      <c r="A73" s="17">
        <v>50</v>
      </c>
      <c r="B73" s="17" t="str">
        <f>VLOOKUP(C73,[1]NOMINATIF!$B$7:$C$414,2,0)</f>
        <v>MATHEOS A. LATUPEIRISSA</v>
      </c>
      <c r="C73" s="34" t="s">
        <v>62</v>
      </c>
      <c r="D73" s="19" t="str">
        <f>VLOOKUP(C73,[1]NOMINATIF!$B$7:$D$132,3,0)</f>
        <v>PPPK/GOL. V</v>
      </c>
      <c r="E73" s="20" t="str">
        <f>VLOOKUP(C73,[1]NOMINATIF!$B$7:$F$150,5,0)</f>
        <v>PELAKSANA SUB BIDANG PERHITUNGAN DAN PENETAPAN PAJAK DAERAH</v>
      </c>
      <c r="F73" s="21"/>
      <c r="G73" s="21"/>
    </row>
    <row r="74" spans="1:7" ht="22.5" x14ac:dyDescent="0.25">
      <c r="A74" s="17">
        <v>51</v>
      </c>
      <c r="B74" s="17" t="str">
        <f>VLOOKUP(C74,[1]NOMINATIF!$B$7:$C$414,2,0)</f>
        <v>SHERLY TESALONIKA PAULUS</v>
      </c>
      <c r="C74" s="34" t="s">
        <v>63</v>
      </c>
      <c r="D74" s="19" t="str">
        <f>VLOOKUP(C74,[1]NOMINATIF!$B$7:$D$132,3,0)</f>
        <v>PPPK/GOL. V</v>
      </c>
      <c r="E74" s="20" t="str">
        <f>VLOOKUP(C74,[1]NOMINATIF!$B$7:$F$150,5,0)</f>
        <v>PELAKSANA SUB BIDANG PENDATAAN DAN PENDAFTARAN PAJAK</v>
      </c>
      <c r="F74" s="21"/>
      <c r="G74" s="21"/>
    </row>
    <row r="75" spans="1:7" ht="22.5" x14ac:dyDescent="0.25">
      <c r="A75" s="17">
        <v>52</v>
      </c>
      <c r="B75" s="17" t="str">
        <f>VLOOKUP(C75,[1]NOMINATIF!$B$7:$C$414,2,0)</f>
        <v>RISMAL</v>
      </c>
      <c r="C75" s="34" t="s">
        <v>64</v>
      </c>
      <c r="D75" s="19" t="str">
        <f>VLOOKUP(C75,[1]NOMINATIF!$B$7:$D$132,3,0)</f>
        <v>PPPK/GOL. V</v>
      </c>
      <c r="E75" s="20" t="str">
        <f>VLOOKUP(C75,[1]NOMINATIF!$B$7:$F$150,5,0)</f>
        <v>PELAKSANA SUB BIDANG PEMERIKSA PAJAK, KONSULTASI KEBERATAN DAN BANDING</v>
      </c>
      <c r="F75" s="21"/>
      <c r="G75" s="21"/>
    </row>
    <row r="76" spans="1:7" ht="22.5" x14ac:dyDescent="0.25">
      <c r="A76" s="17">
        <v>53</v>
      </c>
      <c r="B76" s="17" t="str">
        <f>VLOOKUP(C76,[1]NOMINATIF!$B$7:$C$414,2,0)</f>
        <v>JERMIAS SOUHOKA</v>
      </c>
      <c r="C76" s="34" t="s">
        <v>65</v>
      </c>
      <c r="D76" s="19" t="str">
        <f>VLOOKUP(C76,[1]NOMINATIF!$B$7:$D$132,3,0)</f>
        <v>PPPK/GOL. V</v>
      </c>
      <c r="E76" s="20" t="str">
        <f>VLOOKUP(C76,[1]NOMINATIF!$B$7:$F$150,5,0)</f>
        <v>PELAKSANA SUB BIDANG PENDATAAN DAN PENDAFTARAN PAJAK</v>
      </c>
      <c r="F76" s="21"/>
      <c r="G76" s="21"/>
    </row>
    <row r="77" spans="1:7" ht="22.5" x14ac:dyDescent="0.25">
      <c r="A77" s="17">
        <v>54</v>
      </c>
      <c r="B77" s="17" t="str">
        <f>VLOOKUP(C77,[1]NOMINATIF!$B$7:$C$414,2,0)</f>
        <v>M. MIRDAN A.ARFA</v>
      </c>
      <c r="C77" s="34" t="s">
        <v>66</v>
      </c>
      <c r="D77" s="19" t="str">
        <f>VLOOKUP(C77,[1]NOMINATIF!$B$7:$D$132,3,0)</f>
        <v>PPPK/GOL. V</v>
      </c>
      <c r="E77" s="20" t="str">
        <f>VLOOKUP(C77,[1]NOMINATIF!$B$7:$F$150,5,0)</f>
        <v>PELAKSANA SUB BIDANG PERHITUNGAN DAN PENETAPAN PAJAK DAERAH</v>
      </c>
      <c r="F77" s="21"/>
      <c r="G77" s="21"/>
    </row>
    <row r="78" spans="1:7" x14ac:dyDescent="0.25">
      <c r="A78" s="1"/>
      <c r="B78" s="1"/>
      <c r="C78" s="2"/>
      <c r="D78" s="3"/>
      <c r="E78" s="4"/>
      <c r="F78" s="2"/>
      <c r="G78" s="2"/>
    </row>
    <row r="79" spans="1:7" x14ac:dyDescent="0.25">
      <c r="A79" s="1"/>
      <c r="B79" s="1"/>
      <c r="C79" s="2"/>
      <c r="D79" s="3"/>
      <c r="E79" s="4"/>
      <c r="F79" s="2"/>
      <c r="G79" s="2"/>
    </row>
    <row r="80" spans="1:7" ht="24" x14ac:dyDescent="0.25">
      <c r="A80" s="29" t="s">
        <v>67</v>
      </c>
      <c r="B80" s="30"/>
      <c r="C80" s="30"/>
      <c r="D80" s="30"/>
      <c r="E80" s="30"/>
      <c r="F80" s="30"/>
      <c r="G80" s="30"/>
    </row>
    <row r="81" spans="1:7" ht="15.75" x14ac:dyDescent="0.25">
      <c r="A81" s="13" t="s">
        <v>3</v>
      </c>
      <c r="B81" s="14" t="s">
        <v>4</v>
      </c>
      <c r="C81" s="14" t="s">
        <v>5</v>
      </c>
      <c r="D81" s="16" t="s">
        <v>6</v>
      </c>
      <c r="E81" s="16" t="s">
        <v>7</v>
      </c>
      <c r="F81" s="14" t="s">
        <v>8</v>
      </c>
      <c r="G81" s="14" t="s">
        <v>9</v>
      </c>
    </row>
    <row r="82" spans="1:7" ht="22.5" x14ac:dyDescent="0.25">
      <c r="A82" s="17">
        <v>55</v>
      </c>
      <c r="B82" s="17" t="str">
        <f>VLOOKUP(C82,[1]NOMINATIF!$B$7:$C$414,2,0)</f>
        <v>RINA WASAREAH, S.E, M.Si</v>
      </c>
      <c r="C82" s="22" t="s">
        <v>68</v>
      </c>
      <c r="D82" s="19" t="str">
        <f>VLOOKUP(C82,[1]NOMINATIF!$B$7:$D$132,3,0)</f>
        <v>Pembina (IV/a)</v>
      </c>
      <c r="E82" s="20" t="str">
        <f>VLOOKUP(C82,[1]NOMINATIF!$B$7:$F$150,5,0)</f>
        <v>KEPALA BIDANG PERENCANAAN DAN PENGEMBANGAN PENDAPATAN DAERAH</v>
      </c>
      <c r="F82" s="21"/>
      <c r="G82" s="21"/>
    </row>
    <row r="83" spans="1:7" ht="22.5" x14ac:dyDescent="0.25">
      <c r="A83" s="17">
        <v>56</v>
      </c>
      <c r="B83" s="17" t="str">
        <f>VLOOKUP(C83,[1]NOMINATIF!$B$7:$C$414,2,0)</f>
        <v>LENORA SOOR, S.Sos., M.Si</v>
      </c>
      <c r="C83" s="22" t="s">
        <v>69</v>
      </c>
      <c r="D83" s="19" t="str">
        <f>VLOOKUP(C83,[1]NOMINATIF!$B$7:$D$132,3,0)</f>
        <v>Pembina (IV/a)</v>
      </c>
      <c r="E83" s="20" t="str">
        <f>VLOOKUP(C83,[1]NOMINATIF!$B$7:$F$150,5,0)</f>
        <v>KEPALA SUB BIDANG RETRIBUSI DAN EVALUASI PENDAPATAN DAERAH</v>
      </c>
      <c r="F83" s="21"/>
      <c r="G83" s="21"/>
    </row>
    <row r="84" spans="1:7" ht="33.75" x14ac:dyDescent="0.25">
      <c r="A84" s="17">
        <v>57</v>
      </c>
      <c r="B84" s="17" t="str">
        <f>VLOOKUP(C84,[1]NOMINATIF!$B$7:$C$414,2,0)</f>
        <v>ERNA IBRAHIM, S.Sos., M.M</v>
      </c>
      <c r="C84" s="22" t="s">
        <v>70</v>
      </c>
      <c r="D84" s="19" t="str">
        <f>VLOOKUP(C84,[1]NOMINATIF!$B$7:$D$132,3,0)</f>
        <v>Pembina (IV/a)</v>
      </c>
      <c r="E84" s="20" t="str">
        <f>VLOOKUP(C84,[1]NOMINATIF!$B$7:$F$150,5,0)</f>
        <v>KEPALA SUB BIDANG PENGEMBANGAN SISTEM INFORMATIKA DAN INOVASI PENDAPATAN DAERAH</v>
      </c>
      <c r="F84" s="21"/>
      <c r="G84" s="21"/>
    </row>
    <row r="85" spans="1:7" ht="22.5" x14ac:dyDescent="0.25">
      <c r="A85" s="17">
        <v>58</v>
      </c>
      <c r="B85" s="17" t="str">
        <f>VLOOKUP(C85,[1]NOMINATIF!$B$7:$C$414,2,0)</f>
        <v>ICE SILOLONGAN, S.E., M.Si</v>
      </c>
      <c r="C85" s="22" t="s">
        <v>71</v>
      </c>
      <c r="D85" s="19" t="str">
        <f>VLOOKUP(C85,[1]NOMINATIF!$B$7:$D$132,3,0)</f>
        <v>Penata Tingkat I (III/d)</v>
      </c>
      <c r="E85" s="20" t="str">
        <f>VLOOKUP(C85,[1]NOMINATIF!$B$7:$F$150,5,0)</f>
        <v>KEPALA SUB BIDANG REGULASI PENDAPATAN DAERAH</v>
      </c>
      <c r="F85" s="21"/>
      <c r="G85" s="21"/>
    </row>
    <row r="86" spans="1:7" ht="22.5" x14ac:dyDescent="0.25">
      <c r="A86" s="17">
        <v>59</v>
      </c>
      <c r="B86" s="17" t="str">
        <f>VLOOKUP(C86,[1]NOMINATIF!$B$7:$C$414,2,0)</f>
        <v>MARINI TOPANG, S.Sos, M.AP</v>
      </c>
      <c r="C86" s="22" t="s">
        <v>72</v>
      </c>
      <c r="D86" s="19" t="str">
        <f>VLOOKUP(C86,[1]NOMINATIF!$B$7:$D$132,3,0)</f>
        <v>Pembina (IV/a)</v>
      </c>
      <c r="E86" s="20" t="str">
        <f>VLOOKUP(C86,[1]NOMINATIF!$B$7:$F$150,5,0)</f>
        <v>PELAKSANA SUB BIDANG REGULASI PENDAPATAN DAERAH</v>
      </c>
      <c r="F86" s="21"/>
      <c r="G86" s="21"/>
    </row>
    <row r="87" spans="1:7" ht="22.5" x14ac:dyDescent="0.25">
      <c r="A87" s="17">
        <v>60</v>
      </c>
      <c r="B87" s="17" t="str">
        <f>VLOOKUP(C87,[1]NOMINATIF!$B$7:$C$414,2,0)</f>
        <v>AYU ULFAH PURBA, S.E., M.Si</v>
      </c>
      <c r="C87" s="22" t="s">
        <v>73</v>
      </c>
      <c r="D87" s="19" t="str">
        <f>VLOOKUP(C87,[1]NOMINATIF!$B$7:$D$132,3,0)</f>
        <v>Pembina (IV/a)</v>
      </c>
      <c r="E87" s="20" t="str">
        <f>VLOOKUP(C87,[1]NOMINATIF!$B$7:$F$150,5,0)</f>
        <v>PELAKSANA SUB BIDANG REGULASI PENDAPATAN DAERAH</v>
      </c>
      <c r="F87" s="21"/>
      <c r="G87" s="21"/>
    </row>
    <row r="88" spans="1:7" ht="27" x14ac:dyDescent="0.25">
      <c r="A88" s="17">
        <v>61</v>
      </c>
      <c r="B88" s="17" t="str">
        <f>VLOOKUP(C88,[1]NOMINATIF!$B$7:$C$414,2,0)</f>
        <v>MEITY, S.E,. M.Si</v>
      </c>
      <c r="C88" s="22" t="s">
        <v>74</v>
      </c>
      <c r="D88" s="19" t="str">
        <f>VLOOKUP(C88,[1]NOMINATIF!$B$7:$D$132,3,0)</f>
        <v>Penata Muda Tingkat I (III/b)</v>
      </c>
      <c r="E88" s="20" t="str">
        <f>VLOOKUP(C88,[1]NOMINATIF!$B$7:$F$150,5,0)</f>
        <v>PELAKSANA SUB BIDANG RETRIBUSI DAN EVALUASI PENDAPATAN DAERAH</v>
      </c>
      <c r="F88" s="21"/>
      <c r="G88" s="21"/>
    </row>
    <row r="89" spans="1:7" ht="27" x14ac:dyDescent="0.25">
      <c r="A89" s="17">
        <v>62</v>
      </c>
      <c r="B89" s="17" t="str">
        <f>VLOOKUP(C89,[1]NOMINATIF!$B$7:$C$414,2,0)</f>
        <v>HERLIN MARSELLA RUMERE, S.A.P</v>
      </c>
      <c r="C89" s="22" t="s">
        <v>75</v>
      </c>
      <c r="D89" s="19" t="str">
        <f>VLOOKUP(C89,[1]NOMINATIF!$B$7:$D$132,3,0)</f>
        <v>Penata Muda Tingkat I (III/b)</v>
      </c>
      <c r="E89" s="20" t="str">
        <f>VLOOKUP(C89,[1]NOMINATIF!$B$7:$F$150,5,0)</f>
        <v>PELAKSANA SUB BIDANG RETRIBUSI DAN EVALUASI PENDAPATAN DAERAH</v>
      </c>
      <c r="F89" s="21"/>
      <c r="G89" s="21"/>
    </row>
    <row r="90" spans="1:7" ht="33.75" x14ac:dyDescent="0.25">
      <c r="A90" s="17">
        <v>63</v>
      </c>
      <c r="B90" s="17" t="str">
        <f>VLOOKUP(C90,[1]NOMINATIF!$B$7:$C$414,2,0)</f>
        <v>EKA SARI DEWI. S, S.E</v>
      </c>
      <c r="C90" s="22" t="s">
        <v>76</v>
      </c>
      <c r="D90" s="19" t="str">
        <f>VLOOKUP(C90,[1]NOMINATIF!$B$7:$D$132,3,0)</f>
        <v>Penata Muda (III/a)</v>
      </c>
      <c r="E90" s="20" t="str">
        <f>VLOOKUP(C90,[1]NOMINATIF!$B$7:$F$150,5,0)</f>
        <v>PELAKSANA SUB BIDANG PENGEMBANGAN SISTEM INFORMATIKA DAN INOVASI PENDAPTAN DAERAH</v>
      </c>
      <c r="F90" s="21"/>
      <c r="G90" s="21"/>
    </row>
    <row r="91" spans="1:7" ht="33.75" x14ac:dyDescent="0.25">
      <c r="A91" s="17">
        <v>64</v>
      </c>
      <c r="B91" s="17" t="str">
        <f>VLOOKUP(C91,[1]NOMINATIF!$B$7:$C$414,2,0)</f>
        <v>WILHELMINA FEBRINA TSOLME, S.Psi</v>
      </c>
      <c r="C91" s="22" t="s">
        <v>77</v>
      </c>
      <c r="D91" s="19" t="str">
        <f>VLOOKUP(C91,[1]NOMINATIF!$B$7:$D$132,3,0)</f>
        <v>CPNS (III/a)</v>
      </c>
      <c r="E91" s="20" t="str">
        <f>VLOOKUP(C91,[1]NOMINATIF!$B$7:$F$150,5,0)</f>
        <v>PELAKSANA SUB BIDANG PENGEMBANGAN SISTEM INFORMATIKA DAN INOVASI PENDAPTAN DAERAH</v>
      </c>
      <c r="F91" s="21"/>
      <c r="G91" s="21"/>
    </row>
    <row r="92" spans="1:7" ht="22.5" x14ac:dyDescent="0.25">
      <c r="A92" s="17">
        <v>65</v>
      </c>
      <c r="B92" s="17" t="str">
        <f>VLOOKUP(C92,[1]NOMINATIF!$B$7:$C$414,2,0)</f>
        <v>JAYANTI YANIS, S.E</v>
      </c>
      <c r="C92" s="22" t="s">
        <v>78</v>
      </c>
      <c r="D92" s="19" t="str">
        <f>VLOOKUP(C92,[1]NOMINATIF!$B$7:$D$132,3,0)</f>
        <v>CPNS (III/a)</v>
      </c>
      <c r="E92" s="20" t="str">
        <f>VLOOKUP(C92,[1]NOMINATIF!$B$7:$F$150,5,0)</f>
        <v>PELAKSANA SUB BIDANG REGULASI PENDAPATAN DAERAH</v>
      </c>
      <c r="F92" s="21"/>
      <c r="G92" s="21"/>
    </row>
    <row r="93" spans="1:7" ht="22.5" x14ac:dyDescent="0.25">
      <c r="A93" s="17">
        <v>66</v>
      </c>
      <c r="B93" s="17" t="str">
        <f>VLOOKUP(C93,[1]NOMINATIF!$B$7:$C$414,2,0)</f>
        <v>JUFRI KUM, S.E</v>
      </c>
      <c r="C93" s="22" t="s">
        <v>79</v>
      </c>
      <c r="D93" s="19" t="str">
        <f>VLOOKUP(C93,[1]NOMINATIF!$B$7:$D$132,3,0)</f>
        <v>PPPK/GOL. IX</v>
      </c>
      <c r="E93" s="20" t="str">
        <f>VLOOKUP(C93,[1]NOMINATIF!$B$7:$F$150,5,0)</f>
        <v>PELAKSANA SUB BIDANG REGULASI PENDAPATAN DAERAH</v>
      </c>
      <c r="F93" s="21"/>
      <c r="G93" s="21"/>
    </row>
    <row r="94" spans="1:7" ht="22.5" x14ac:dyDescent="0.25">
      <c r="A94" s="17">
        <v>67</v>
      </c>
      <c r="B94" s="17" t="str">
        <f>VLOOKUP(C94,[1]NOMINATIF!$B$7:$C$414,2,0)</f>
        <v>TIAR TAMPANG, S.T</v>
      </c>
      <c r="C94" s="22" t="s">
        <v>80</v>
      </c>
      <c r="D94" s="19" t="str">
        <f>VLOOKUP(C94,[1]NOMINATIF!$B$7:$D$132,3,0)</f>
        <v>PPPK/GOL. IX</v>
      </c>
      <c r="E94" s="20" t="str">
        <f>VLOOKUP(C94,[1]NOMINATIF!$B$7:$F$150,5,0)</f>
        <v>PELAKSANA SUB BIDANG DANA PERIMBANGAN</v>
      </c>
      <c r="F94" s="21"/>
      <c r="G94" s="21"/>
    </row>
    <row r="95" spans="1:7" ht="33.75" x14ac:dyDescent="0.25">
      <c r="A95" s="17">
        <v>68</v>
      </c>
      <c r="B95" s="17" t="str">
        <f>VLOOKUP(C95,[1]NOMINATIF!$B$7:$C$414,2,0)</f>
        <v>SURISTO ARRANG BUA, S.Kom</v>
      </c>
      <c r="C95" s="22" t="s">
        <v>81</v>
      </c>
      <c r="D95" s="19" t="str">
        <f>VLOOKUP(C95,[1]NOMINATIF!$B$7:$D$132,3,0)</f>
        <v>PPPK/GOL. IX</v>
      </c>
      <c r="E95" s="20" t="str">
        <f>VLOOKUP(C95,[1]NOMINATIF!$B$7:$F$150,5,0)</f>
        <v>PELAKSANA SUB BIDANG PENGEMBANGAN SISTEM INFORMATIKA DAN INOVASI PENDAPATAN DAERAH</v>
      </c>
      <c r="F95" s="21"/>
      <c r="G95" s="21"/>
    </row>
    <row r="96" spans="1:7" ht="22.5" x14ac:dyDescent="0.25">
      <c r="A96" s="17">
        <v>69</v>
      </c>
      <c r="B96" s="17" t="str">
        <f>VLOOKUP(C96,[1]NOMINATIF!$B$7:$C$414,2,0)</f>
        <v>MICHAEL TEGUH TRISATYA TANDISENO, S.T</v>
      </c>
      <c r="C96" s="22" t="s">
        <v>82</v>
      </c>
      <c r="D96" s="19" t="str">
        <f>VLOOKUP(C96,[1]NOMINATIF!$B$7:$D$132,3,0)</f>
        <v>PPPK/GOL. IX</v>
      </c>
      <c r="E96" s="20" t="str">
        <f>VLOOKUP(C96,[1]NOMINATIF!$B$7:$F$150,5,0)</f>
        <v>PELAKSANA SUB BIDANG REGULASI PENDAPATAN DAERAH</v>
      </c>
      <c r="F96" s="21"/>
      <c r="G96" s="21"/>
    </row>
    <row r="97" spans="1:7" ht="22.5" x14ac:dyDescent="0.25">
      <c r="A97" s="17">
        <v>70</v>
      </c>
      <c r="B97" s="17" t="str">
        <f>VLOOKUP(C97,[1]NOMINATIF!$B$7:$C$414,2,0)</f>
        <v>JUFRI HINDOM</v>
      </c>
      <c r="C97" s="22" t="s">
        <v>83</v>
      </c>
      <c r="D97" s="19" t="str">
        <f>VLOOKUP(C97,[1]NOMINATIF!$B$7:$D$132,3,0)</f>
        <v>PPPK/GOL. V</v>
      </c>
      <c r="E97" s="20" t="str">
        <f>VLOOKUP(C97,[1]NOMINATIF!$B$7:$F$150,5,0)</f>
        <v>PELAKSANA SUB BIDANG DANA PERIMBANGAN</v>
      </c>
      <c r="F97" s="21"/>
      <c r="G97" s="21"/>
    </row>
    <row r="98" spans="1:7" x14ac:dyDescent="0.25">
      <c r="A98" s="1"/>
      <c r="B98" s="1"/>
      <c r="C98" s="2"/>
      <c r="D98" s="3"/>
      <c r="E98" s="4"/>
      <c r="F98" s="2"/>
      <c r="G98" s="2"/>
    </row>
    <row r="99" spans="1:7" x14ac:dyDescent="0.25">
      <c r="A99" s="1"/>
      <c r="B99" s="1"/>
      <c r="C99" s="2"/>
      <c r="D99" s="3"/>
      <c r="E99" s="4"/>
      <c r="F99" s="2"/>
      <c r="G99" s="2"/>
    </row>
    <row r="100" spans="1:7" x14ac:dyDescent="0.25">
      <c r="A100" s="1"/>
      <c r="B100" s="1"/>
      <c r="C100" s="2"/>
      <c r="D100" s="3"/>
      <c r="E100" s="4"/>
      <c r="F100" s="2"/>
      <c r="G100" s="2"/>
    </row>
    <row r="101" spans="1:7" x14ac:dyDescent="0.25">
      <c r="A101" s="1"/>
      <c r="B101" s="1"/>
      <c r="C101" s="2"/>
      <c r="D101" s="3"/>
      <c r="E101" s="4"/>
      <c r="F101" s="2"/>
      <c r="G101" s="2"/>
    </row>
    <row r="102" spans="1:7" ht="24" x14ac:dyDescent="0.25">
      <c r="A102" s="29" t="s">
        <v>84</v>
      </c>
      <c r="B102" s="30"/>
      <c r="C102" s="30"/>
      <c r="D102" s="30"/>
      <c r="E102" s="30"/>
      <c r="F102" s="30"/>
      <c r="G102" s="30"/>
    </row>
    <row r="103" spans="1:7" ht="15.75" x14ac:dyDescent="0.25">
      <c r="A103" s="13" t="s">
        <v>3</v>
      </c>
      <c r="B103" s="13" t="s">
        <v>4</v>
      </c>
      <c r="C103" s="14" t="s">
        <v>5</v>
      </c>
      <c r="D103" s="16" t="s">
        <v>6</v>
      </c>
      <c r="E103" s="16" t="s">
        <v>7</v>
      </c>
      <c r="F103" s="14" t="s">
        <v>8</v>
      </c>
      <c r="G103" s="14" t="s">
        <v>9</v>
      </c>
    </row>
    <row r="104" spans="1:7" x14ac:dyDescent="0.25">
      <c r="A104" s="17">
        <v>71</v>
      </c>
      <c r="B104" s="17" t="str">
        <f>VLOOKUP(C104,[1]NOMINATIF!$B$7:$C$414,2,0)</f>
        <v>RUSDIGAMA R.BAHARUDDIN, S.E., M,Si</v>
      </c>
      <c r="C104" s="21" t="s">
        <v>85</v>
      </c>
      <c r="D104" s="19" t="str">
        <f>VLOOKUP(C104,[1]NOMINATIF!$B$7:$D$132,3,0)</f>
        <v>Pembina (IV/a)</v>
      </c>
      <c r="E104" s="20" t="str">
        <f>VLOOKUP(C104,[1]NOMINATIF!$B$7:$F$150,5,0)</f>
        <v>PLT. KEPLA BIDANG PBB DAN BPHTB</v>
      </c>
      <c r="F104" s="21"/>
      <c r="G104" s="21"/>
    </row>
    <row r="105" spans="1:7" ht="22.5" x14ac:dyDescent="0.25">
      <c r="A105" s="17">
        <f>A104+1</f>
        <v>72</v>
      </c>
      <c r="B105" s="17" t="str">
        <f>VLOOKUP(C105,[1]NOMINATIF!$B$7:$C$414,2,0)</f>
        <v>AWALUDDIN NUR, S.E</v>
      </c>
      <c r="C105" s="21" t="s">
        <v>86</v>
      </c>
      <c r="D105" s="19" t="str">
        <f>VLOOKUP(C105,[1]NOMINATIF!$B$7:$D$132,3,0)</f>
        <v>Penata Tingkat I (III/d)</v>
      </c>
      <c r="E105" s="20" t="str">
        <f>VLOOKUP(C105,[1]NOMINATIF!$B$7:$F$150,5,0)</f>
        <v>KEPALA SUB BIDANG PENAGIHAN RESTITUSI PBB DAN BPHTB</v>
      </c>
      <c r="F105" s="21"/>
      <c r="G105" s="21"/>
    </row>
    <row r="106" spans="1:7" ht="22.5" x14ac:dyDescent="0.25">
      <c r="A106" s="17">
        <f>A105+1</f>
        <v>73</v>
      </c>
      <c r="B106" s="17" t="str">
        <f>VLOOKUP(C106,[1]NOMINATIF!$B$7:$C$414,2,0)</f>
        <v>JONATHAN B. TABERIMA, S.E</v>
      </c>
      <c r="C106" s="21" t="s">
        <v>87</v>
      </c>
      <c r="D106" s="19" t="str">
        <f>VLOOKUP(C106,[1]NOMINATIF!$B$7:$D$132,3,0)</f>
        <v>Penata (III/c)</v>
      </c>
      <c r="E106" s="20" t="str">
        <f>VLOOKUP(C106,[1]NOMINATIF!$B$7:$F$150,5,0)</f>
        <v>KEPALA SUB BIDANG PENDATAAN DAN PENDAFTRAN PBB DAN BPHTB</v>
      </c>
      <c r="F106" s="21"/>
      <c r="G106" s="21"/>
    </row>
    <row r="107" spans="1:7" ht="27" x14ac:dyDescent="0.25">
      <c r="A107" s="17">
        <v>74</v>
      </c>
      <c r="B107" s="17" t="str">
        <f>VLOOKUP(C107,[1]NOMINATIF!$B$7:$C$414,2,0)</f>
        <v>LADY IRAWATY KAEMONG, S.E,. M.Si</v>
      </c>
      <c r="C107" s="21" t="s">
        <v>88</v>
      </c>
      <c r="D107" s="19" t="str">
        <f>VLOOKUP(C107,[1]NOMINATIF!$B$7:$D$132,3,0)</f>
        <v>Penata Muda Tingkat I (III/b)</v>
      </c>
      <c r="E107" s="20" t="str">
        <f>VLOOKUP(C107,[1]NOMINATIF!$B$7:$F$150,5,0)</f>
        <v>PELAKSANA SUB BIDANG PENILAIAN DAN PENETAPAN PBB DAN BPHTB</v>
      </c>
      <c r="F107" s="21"/>
      <c r="G107" s="21"/>
    </row>
    <row r="108" spans="1:7" ht="27" x14ac:dyDescent="0.25">
      <c r="A108" s="17">
        <f>A107+1</f>
        <v>75</v>
      </c>
      <c r="B108" s="17" t="str">
        <f>VLOOKUP(C108,[1]NOMINATIF!$B$7:$C$414,2,0)</f>
        <v>STEFIE LYDIA URSIA, S.E</v>
      </c>
      <c r="C108" s="21" t="s">
        <v>89</v>
      </c>
      <c r="D108" s="19" t="str">
        <f>VLOOKUP(C108,[1]NOMINATIF!$B$7:$D$132,3,0)</f>
        <v>Penata Muda Tingkat I (III/b)</v>
      </c>
      <c r="E108" s="20" t="str">
        <f>VLOOKUP(C108,[1]NOMINATIF!$B$7:$F$150,5,0)</f>
        <v>PELAKSANA SUB BIDANG PENILAIAN DAN PENETAPAN PBB DAN BPHTB</v>
      </c>
      <c r="F108" s="21"/>
      <c r="G108" s="21"/>
    </row>
    <row r="109" spans="1:7" ht="22.5" x14ac:dyDescent="0.25">
      <c r="A109" s="17">
        <f>A108+1</f>
        <v>76</v>
      </c>
      <c r="B109" s="17" t="str">
        <f>VLOOKUP(C109,[1]NOMINATIF!$B$7:$C$414,2,0)</f>
        <v>IRAWATY, S.E</v>
      </c>
      <c r="C109" s="21" t="s">
        <v>90</v>
      </c>
      <c r="D109" s="19" t="str">
        <f>VLOOKUP(C109,[1]NOMINATIF!$B$7:$D$132,3,0)</f>
        <v>Penata (III/c)</v>
      </c>
      <c r="E109" s="20" t="str">
        <f>VLOOKUP(C109,[1]NOMINATIF!$B$7:$F$150,5,0)</f>
        <v>PELAKSANA SUB BIDANG PENAGIHAN RESTITUSI PBB DAN BPHTB</v>
      </c>
      <c r="F109" s="21"/>
      <c r="G109" s="21"/>
    </row>
    <row r="110" spans="1:7" ht="27" x14ac:dyDescent="0.25">
      <c r="A110" s="17">
        <v>77</v>
      </c>
      <c r="B110" s="17" t="str">
        <f>VLOOKUP(C110,[1]NOMINATIF!$B$7:$C$414,2,0)</f>
        <v>MARLON BESRON SESA, S.H</v>
      </c>
      <c r="C110" s="21" t="s">
        <v>91</v>
      </c>
      <c r="D110" s="19" t="str">
        <f>VLOOKUP(C110,[1]NOMINATIF!$B$7:$D$132,3,0)</f>
        <v>Penata Muda Tingkat I (III/b)</v>
      </c>
      <c r="E110" s="20" t="str">
        <f>VLOOKUP(C110,[1]NOMINATIF!$B$7:$F$150,5,0)</f>
        <v>PELAKSANA SUB BIDANG PENILAIAN DAN PENETAPAN PBB DAN BPHTB</v>
      </c>
      <c r="F110" s="21"/>
      <c r="G110" s="21"/>
    </row>
    <row r="111" spans="1:7" ht="22.5" x14ac:dyDescent="0.25">
      <c r="A111" s="17">
        <f>A110+1</f>
        <v>78</v>
      </c>
      <c r="B111" s="17" t="str">
        <f>VLOOKUP(C111,[1]NOMINATIF!$B$7:$C$414,2,0)</f>
        <v>YULIANUS BAERA, S.E</v>
      </c>
      <c r="C111" s="21" t="s">
        <v>92</v>
      </c>
      <c r="D111" s="19" t="str">
        <f>VLOOKUP(C111,[1]NOMINATIF!$B$7:$D$132,3,0)</f>
        <v>Penata Muda (III/a)</v>
      </c>
      <c r="E111" s="20" t="str">
        <f>VLOOKUP(C111,[1]NOMINATIF!$B$7:$F$150,5,0)</f>
        <v>PELAKSANA SUB BIDANG PENAGIHAN RESTITUSI PBB DAN BPHTB</v>
      </c>
      <c r="F111" s="21"/>
      <c r="G111" s="21"/>
    </row>
    <row r="112" spans="1:7" ht="22.5" x14ac:dyDescent="0.25">
      <c r="A112" s="17">
        <f t="shared" ref="A112:A136" si="0">A111+1</f>
        <v>79</v>
      </c>
      <c r="B112" s="17" t="str">
        <f>VLOOKUP(C112,[1]NOMINATIF!$B$7:$C$414,2,0)</f>
        <v>TINIKE BEATRIX WAY, S.E</v>
      </c>
      <c r="C112" s="21" t="s">
        <v>93</v>
      </c>
      <c r="D112" s="19" t="str">
        <f>VLOOKUP(C112,[1]NOMINATIF!$B$7:$D$132,3,0)</f>
        <v>Penata Muda (III/a)</v>
      </c>
      <c r="E112" s="20" t="str">
        <f>VLOOKUP(C112,[1]NOMINATIF!$B$7:$F$150,5,0)</f>
        <v>PELAKSANA SUB BIDANG PENAGIHAN RETITUSI PBB DAN BPHTB</v>
      </c>
      <c r="F112" s="21"/>
      <c r="G112" s="21"/>
    </row>
    <row r="113" spans="1:7" ht="22.5" x14ac:dyDescent="0.25">
      <c r="A113" s="17">
        <v>80</v>
      </c>
      <c r="B113" s="17" t="str">
        <f>VLOOKUP(C113,[1]NOMINATIF!$B$7:$C$414,2,0)</f>
        <v>CRISTOFFEL WAKUM, S.E</v>
      </c>
      <c r="C113" s="21" t="s">
        <v>94</v>
      </c>
      <c r="D113" s="19" t="str">
        <f>VLOOKUP(C113,[1]NOMINATIF!$B$7:$D$132,3,0)</f>
        <v>Penata Muda (III/a)</v>
      </c>
      <c r="E113" s="20" t="str">
        <f>VLOOKUP(C113,[1]NOMINATIF!$B$7:$F$150,5,0)</f>
        <v>PELAKSANA SUB BIDANG PENDATAAN DAN PENDAFTARAN  PBB DAN BPHTB</v>
      </c>
      <c r="F113" s="21"/>
      <c r="G113" s="21"/>
    </row>
    <row r="114" spans="1:7" ht="22.5" x14ac:dyDescent="0.25">
      <c r="A114" s="17">
        <f t="shared" ref="A114:A132" si="1">A113+1</f>
        <v>81</v>
      </c>
      <c r="B114" s="17" t="str">
        <f>VLOOKUP(C114,[1]NOMINATIF!$B$7:$C$414,2,0)</f>
        <v>FRANS MOLI RENYAAN</v>
      </c>
      <c r="C114" s="21" t="s">
        <v>95</v>
      </c>
      <c r="D114" s="19" t="str">
        <f>VLOOKUP(C114,[1]NOMINATIF!$B$7:$D$132,3,0)</f>
        <v>Penata Muda (III/a)</v>
      </c>
      <c r="E114" s="20" t="str">
        <f>VLOOKUP(C114,[1]NOMINATIF!$B$7:$F$150,5,0)</f>
        <v>PELAKSANA SUB BIDANG PENDATAAN PBB DAN BPHTB</v>
      </c>
      <c r="F114" s="21"/>
      <c r="G114" s="21"/>
    </row>
    <row r="115" spans="1:7" ht="22.5" x14ac:dyDescent="0.25">
      <c r="A115" s="17">
        <f t="shared" si="0"/>
        <v>82</v>
      </c>
      <c r="B115" s="17" t="str">
        <f>VLOOKUP(C115,[1]NOMINATIF!$B$7:$C$414,2,0)</f>
        <v>MARTHEN LUTHER RUMBOIRUSY, S.E</v>
      </c>
      <c r="C115" s="21" t="s">
        <v>96</v>
      </c>
      <c r="D115" s="19" t="str">
        <f>VLOOKUP(C115,[1]NOMINATIF!$B$7:$D$132,3,0)</f>
        <v>Penata Muda (III/a)</v>
      </c>
      <c r="E115" s="20" t="str">
        <f>VLOOKUP(C115,[1]NOMINATIF!$B$7:$F$150,5,0)</f>
        <v>PELAKSAN SUB BIDANG PENILAIAN DAN PENETAPAN PBB DAN BPHTB</v>
      </c>
      <c r="F115" s="21"/>
      <c r="G115" s="21"/>
    </row>
    <row r="116" spans="1:7" ht="22.5" x14ac:dyDescent="0.25">
      <c r="A116" s="17">
        <v>83</v>
      </c>
      <c r="B116" s="17" t="str">
        <f>VLOOKUP(C116,[1]NOMINATIF!$B$7:$C$414,2,0)</f>
        <v>YOANE VIANNEY, S.E</v>
      </c>
      <c r="C116" s="21" t="s">
        <v>97</v>
      </c>
      <c r="D116" s="19" t="str">
        <f>VLOOKUP(C116,[1]NOMINATIF!$B$7:$D$132,3,0)</f>
        <v>Penata Muda (III/a)</v>
      </c>
      <c r="E116" s="20" t="str">
        <f>VLOOKUP(C116,[1]NOMINATIF!$B$7:$F$150,5,0)</f>
        <v>PELAKSANA SUB BIDANG PENILAIAN DAN PENETAPAN PBB DAN BPHTB</v>
      </c>
      <c r="F116" s="21"/>
      <c r="G116" s="21"/>
    </row>
    <row r="117" spans="1:7" ht="22.5" x14ac:dyDescent="0.25">
      <c r="A117" s="17">
        <f t="shared" si="1"/>
        <v>84</v>
      </c>
      <c r="B117" s="17" t="str">
        <f>VLOOKUP(C117,[1]NOMINATIF!$B$7:$C$414,2,0)</f>
        <v>KAREL ELMAS</v>
      </c>
      <c r="C117" s="21" t="s">
        <v>98</v>
      </c>
      <c r="D117" s="19" t="str">
        <f>VLOOKUP(C117,[1]NOMINATIF!$B$7:$D$132,3,0)</f>
        <v>Pengatur Tingkat I (II/d)</v>
      </c>
      <c r="E117" s="20" t="str">
        <f>VLOOKUP(C117,[1]NOMINATIF!$B$7:$F$150,5,0)</f>
        <v>PELAKSANA SUB BIDANG PENILAIAN DAN PENETAPAN PBB DAN BPHTB</v>
      </c>
      <c r="F117" s="21"/>
      <c r="G117" s="21"/>
    </row>
    <row r="118" spans="1:7" ht="27" x14ac:dyDescent="0.25">
      <c r="A118" s="17">
        <f t="shared" si="0"/>
        <v>85</v>
      </c>
      <c r="B118" s="17" t="str">
        <f>VLOOKUP(C118,[1]NOMINATIF!$B$7:$C$414,2,0)</f>
        <v>NATALIS UAMANG</v>
      </c>
      <c r="C118" s="21" t="s">
        <v>99</v>
      </c>
      <c r="D118" s="19" t="str">
        <f>VLOOKUP(C118,[1]NOMINATIF!$B$7:$D$132,3,0)</f>
        <v>Pengatur Muda Tingkat I (II/b)</v>
      </c>
      <c r="E118" s="20" t="str">
        <f>VLOOKUP(C118,[1]NOMINATIF!$B$7:$F$150,5,0)</f>
        <v>PELAKSANA SUB BIDANG PENDATAAN DAN PENDAFTRAN PBB DAN BPHTB</v>
      </c>
      <c r="F118" s="21"/>
      <c r="G118" s="21"/>
    </row>
    <row r="119" spans="1:7" ht="22.5" x14ac:dyDescent="0.25">
      <c r="A119" s="17">
        <v>86</v>
      </c>
      <c r="B119" s="17" t="str">
        <f>VLOOKUP(C119,[1]NOMINATIF!$B$7:$C$414,2,0)</f>
        <v>EDWARD STEPHEN TEMORUBUN</v>
      </c>
      <c r="C119" s="21" t="s">
        <v>100</v>
      </c>
      <c r="D119" s="19" t="str">
        <f>VLOOKUP(C119,[1]NOMINATIF!$B$7:$D$132,3,0)</f>
        <v>Pengatur Muda (II/a)</v>
      </c>
      <c r="E119" s="20" t="str">
        <f>VLOOKUP(C119,[1]NOMINATIF!$B$7:$F$150,5,0)</f>
        <v>PELAKSANA SUB BIDANG PENILAIAN DAN PENETAPAN PBB DAN BPHTB</v>
      </c>
      <c r="F119" s="21"/>
      <c r="G119" s="21"/>
    </row>
    <row r="120" spans="1:7" ht="22.5" x14ac:dyDescent="0.25">
      <c r="A120" s="17">
        <f t="shared" si="1"/>
        <v>87</v>
      </c>
      <c r="B120" s="17" t="str">
        <f>VLOOKUP(C120,[1]NOMINATIF!$B$7:$C$414,2,0)</f>
        <v>HIRONEMUS THOBIAS IMIPIYAU</v>
      </c>
      <c r="C120" s="21" t="s">
        <v>101</v>
      </c>
      <c r="D120" s="19" t="str">
        <f>VLOOKUP(C120,[1]NOMINATIF!$B$7:$D$132,3,0)</f>
        <v>Pengatur Muda (II/a)</v>
      </c>
      <c r="E120" s="20" t="str">
        <f>VLOOKUP(C120,[1]NOMINATIF!$B$7:$F$150,5,0)</f>
        <v>PELAKSANA SUB BIDANG PENAGIHAN RESTITUSI PBB DAN BPHTB</v>
      </c>
      <c r="F120" s="21"/>
      <c r="G120" s="21"/>
    </row>
    <row r="121" spans="1:7" ht="22.5" x14ac:dyDescent="0.25">
      <c r="A121" s="17">
        <f t="shared" si="0"/>
        <v>88</v>
      </c>
      <c r="B121" s="17" t="str">
        <f>VLOOKUP(C121,[1]NOMINATIF!$B$7:$C$414,2,0)</f>
        <v>JULIANA MAKNAIPEKU</v>
      </c>
      <c r="C121" s="21" t="s">
        <v>102</v>
      </c>
      <c r="D121" s="19" t="str">
        <f>VLOOKUP(C121,[1]NOMINATIF!$B$7:$D$132,3,0)</f>
        <v>Pengatur Muda (II/a)</v>
      </c>
      <c r="E121" s="20" t="str">
        <f>VLOOKUP(C121,[1]NOMINATIF!$B$7:$F$150,5,0)</f>
        <v>PELAKSANA SUB BIDANG PENILAIAN DAN PENETAPAN PBB DAN BPHTB</v>
      </c>
      <c r="F121" s="21"/>
      <c r="G121" s="21"/>
    </row>
    <row r="122" spans="1:7" ht="22.5" x14ac:dyDescent="0.25">
      <c r="A122" s="17">
        <v>89</v>
      </c>
      <c r="B122" s="17" t="str">
        <f>VLOOKUP(C122,[1]NOMINATIF!$B$7:$C$414,2,0)</f>
        <v>MARTHA SISILIA TJENAWATME</v>
      </c>
      <c r="C122" s="21" t="s">
        <v>103</v>
      </c>
      <c r="D122" s="19" t="str">
        <f>VLOOKUP(C122,[1]NOMINATIF!$B$7:$D$132,3,0)</f>
        <v>Pengatur Muda (II/a)</v>
      </c>
      <c r="E122" s="20" t="str">
        <f>VLOOKUP(C122,[1]NOMINATIF!$B$7:$F$150,5,0)</f>
        <v>PELAKSANA SUB BIDANG PENDATAAN DAN PENDAFTARAN PBB DAN BPHTB</v>
      </c>
      <c r="F122" s="21"/>
      <c r="G122" s="21"/>
    </row>
    <row r="123" spans="1:7" ht="22.5" x14ac:dyDescent="0.25">
      <c r="A123" s="17">
        <f t="shared" si="1"/>
        <v>90</v>
      </c>
      <c r="B123" s="17" t="str">
        <f>VLOOKUP(C123,[1]NOMINATIF!$B$7:$C$414,2,0)</f>
        <v>LEONARDUS POAY</v>
      </c>
      <c r="C123" s="21" t="s">
        <v>104</v>
      </c>
      <c r="D123" s="19" t="str">
        <f>VLOOKUP(C123,[1]NOMINATIF!$B$7:$D$132,3,0)</f>
        <v>Pengatur Muda (II/a)</v>
      </c>
      <c r="E123" s="20" t="str">
        <f>VLOOKUP(C123,[1]NOMINATIF!$B$7:$F$150,5,0)</f>
        <v>PELAKSANA SUB BIDANG PENDATAAN PBB DAN BPHTB</v>
      </c>
      <c r="F123" s="21"/>
      <c r="G123" s="21"/>
    </row>
    <row r="124" spans="1:7" ht="22.5" x14ac:dyDescent="0.25">
      <c r="A124" s="17">
        <f t="shared" si="0"/>
        <v>91</v>
      </c>
      <c r="B124" s="17" t="str">
        <f>VLOOKUP(C124,[1]NOMINATIF!$B$7:$C$414,2,0)</f>
        <v>ELSIE NINING BANOSRO, S.E</v>
      </c>
      <c r="C124" s="21" t="s">
        <v>105</v>
      </c>
      <c r="D124" s="19" t="str">
        <f>VLOOKUP(C124,[1]NOMINATIF!$B$7:$D$132,3,0)</f>
        <v>CPNS (III/a)</v>
      </c>
      <c r="E124" s="20" t="str">
        <f>VLOOKUP(C124,[1]NOMINATIF!$B$7:$F$150,5,0)</f>
        <v>PELAKSANA SUB BIDANG PENILAIAN DAN PENETAPAN PBB DAN BPHTB</v>
      </c>
      <c r="F124" s="21"/>
      <c r="G124" s="21"/>
    </row>
    <row r="125" spans="1:7" ht="22.5" x14ac:dyDescent="0.25">
      <c r="A125" s="17">
        <v>92</v>
      </c>
      <c r="B125" s="17" t="str">
        <f>VLOOKUP(C125,[1]NOMINATIF!$B$7:$C$414,2,0)</f>
        <v>CHRISTIAN VANHALEN PANGAU, S.E</v>
      </c>
      <c r="C125" s="21" t="s">
        <v>106</v>
      </c>
      <c r="D125" s="19" t="str">
        <f>VLOOKUP(C125,[1]NOMINATIF!$B$7:$D$132,3,0)</f>
        <v>PPPK/GOL. IX</v>
      </c>
      <c r="E125" s="20" t="str">
        <f>VLOOKUP(C125,[1]NOMINATIF!$B$7:$F$150,5,0)</f>
        <v>PELAKSANA SUB BIDANG PENILAIAN DAN PENETAPAN PBB DAN BPHTB</v>
      </c>
      <c r="F125" s="21"/>
      <c r="G125" s="21"/>
    </row>
    <row r="126" spans="1:7" ht="22.5" x14ac:dyDescent="0.25">
      <c r="A126" s="17">
        <f t="shared" si="1"/>
        <v>93</v>
      </c>
      <c r="B126" s="17" t="str">
        <f>VLOOKUP(C126,[1]NOMINATIF!$B$7:$C$414,2,0)</f>
        <v>YUNITA LEME' LUMEMBANG, S.T</v>
      </c>
      <c r="C126" s="21" t="s">
        <v>107</v>
      </c>
      <c r="D126" s="19" t="str">
        <f>VLOOKUP(C126,[1]NOMINATIF!$B$7:$D$132,3,0)</f>
        <v>PPPK/GOL. IX</v>
      </c>
      <c r="E126" s="20" t="str">
        <f>VLOOKUP(C126,[1]NOMINATIF!$B$7:$F$150,5,0)</f>
        <v>PELAKSANA SUB BIDANG PENILAIAN DAN PENETAPAN PBB DAN BPHTB</v>
      </c>
      <c r="F126" s="21"/>
      <c r="G126" s="21"/>
    </row>
    <row r="127" spans="1:7" ht="22.5" x14ac:dyDescent="0.25">
      <c r="A127" s="17">
        <f t="shared" si="0"/>
        <v>94</v>
      </c>
      <c r="B127" s="17" t="str">
        <f>VLOOKUP(C127,[1]NOMINATIF!$B$7:$C$414,2,0)</f>
        <v>AGUSTINUS SETITIT, S.Sos</v>
      </c>
      <c r="C127" s="21" t="s">
        <v>108</v>
      </c>
      <c r="D127" s="19" t="str">
        <f>VLOOKUP(C127,[1]NOMINATIF!$B$7:$D$132,3,0)</f>
        <v>PPPK/GOL. IX</v>
      </c>
      <c r="E127" s="20" t="str">
        <f>VLOOKUP(C127,[1]NOMINATIF!$B$7:$F$150,5,0)</f>
        <v>PELAKSANA SUB BIDANG PENDATAAN DAN PENDAFTARAN PBB DAN BPHTB</v>
      </c>
      <c r="F127" s="21"/>
      <c r="G127" s="21"/>
    </row>
    <row r="128" spans="1:7" ht="22.5" x14ac:dyDescent="0.25">
      <c r="A128" s="17">
        <v>95</v>
      </c>
      <c r="B128" s="17" t="str">
        <f>VLOOKUP(C128,[1]NOMINATIF!$B$7:$C$414,2,0)</f>
        <v>ARISTON KARTONO, S.T</v>
      </c>
      <c r="C128" s="21" t="s">
        <v>109</v>
      </c>
      <c r="D128" s="19" t="str">
        <f>VLOOKUP(C128,[1]NOMINATIF!$B$7:$D$132,3,0)</f>
        <v>PPPK/GOL. IX</v>
      </c>
      <c r="E128" s="20" t="str">
        <f>VLOOKUP(C128,[1]NOMINATIF!$B$7:$F$150,5,0)</f>
        <v>PELAKSAN SUB BIDANG PENAGIHAN RESTITUSI PBB DAN BPHTB</v>
      </c>
      <c r="F128" s="21"/>
      <c r="G128" s="21"/>
    </row>
    <row r="129" spans="1:7" ht="22.5" x14ac:dyDescent="0.25">
      <c r="A129" s="17">
        <f t="shared" si="1"/>
        <v>96</v>
      </c>
      <c r="B129" s="17" t="str">
        <f>VLOOKUP(C129,[1]NOMINATIF!$B$7:$C$414,2,0)</f>
        <v>ADITYA SAPUTRA, S.S.T</v>
      </c>
      <c r="C129" s="21" t="s">
        <v>110</v>
      </c>
      <c r="D129" s="19" t="str">
        <f>VLOOKUP(C129,[1]NOMINATIF!$B$7:$D$132,3,0)</f>
        <v>PPPK/GOL. IX</v>
      </c>
      <c r="E129" s="20" t="str">
        <f>VLOOKUP(C129,[1]NOMINATIF!$B$7:$F$150,5,0)</f>
        <v>PELAKSANA SUB BIDANG PENILAIAN DAN PENETAPAN PBB DAN BPHTB</v>
      </c>
      <c r="F129" s="21"/>
      <c r="G129" s="21"/>
    </row>
    <row r="130" spans="1:7" ht="22.5" x14ac:dyDescent="0.25">
      <c r="A130" s="17">
        <f t="shared" si="0"/>
        <v>97</v>
      </c>
      <c r="B130" s="17" t="str">
        <f>VLOOKUP(C130,[1]NOMINATIF!$B$7:$C$414,2,0)</f>
        <v>HERMAN FERDINAND DESSA, S.I.P., M.I.P</v>
      </c>
      <c r="C130" s="21" t="s">
        <v>111</v>
      </c>
      <c r="D130" s="19" t="str">
        <f>VLOOKUP(C130,[1]NOMINATIF!$B$7:$D$132,3,0)</f>
        <v>PPPK/GOL. IX</v>
      </c>
      <c r="E130" s="20" t="str">
        <f>VLOOKUP(C130,[1]NOMINATIF!$B$7:$F$150,5,0)</f>
        <v>PELAKSANA SUB BIDANG PENDATAAN DAN PENDAFTARAN PBB DAN BPHTB</v>
      </c>
      <c r="F130" s="21"/>
      <c r="G130" s="21"/>
    </row>
    <row r="131" spans="1:7" ht="22.5" x14ac:dyDescent="0.25">
      <c r="A131" s="17">
        <v>98</v>
      </c>
      <c r="B131" s="17" t="str">
        <f>VLOOKUP(C131,[1]NOMINATIF!$B$7:$C$414,2,0)</f>
        <v>OPI' SUMULE, S.E</v>
      </c>
      <c r="C131" s="21" t="s">
        <v>112</v>
      </c>
      <c r="D131" s="19" t="str">
        <f>VLOOKUP(C131,[1]NOMINATIF!$B$7:$D$132,3,0)</f>
        <v>PPPK/GOL. IX</v>
      </c>
      <c r="E131" s="20" t="str">
        <f>VLOOKUP(C131,[1]NOMINATIF!$B$7:$F$150,5,0)</f>
        <v>PELAKSANA SUB BIDANG PENILAIAN DAN PENETAPAN PBB DAN BPHTB</v>
      </c>
      <c r="F131" s="21"/>
      <c r="G131" s="21"/>
    </row>
    <row r="132" spans="1:7" ht="22.5" x14ac:dyDescent="0.25">
      <c r="A132" s="17">
        <f t="shared" si="1"/>
        <v>99</v>
      </c>
      <c r="B132" s="17" t="str">
        <f>VLOOKUP(C132,[1]NOMINATIF!$B$7:$C$414,2,0)</f>
        <v>KARTINI, S.I.P</v>
      </c>
      <c r="C132" s="21" t="s">
        <v>113</v>
      </c>
      <c r="D132" s="19" t="str">
        <f>VLOOKUP(C132,[1]NOMINATIF!$B$7:$D$132,3,0)</f>
        <v>PPPK/GOL. IX</v>
      </c>
      <c r="E132" s="20" t="str">
        <f>VLOOKUP(C132,[1]NOMINATIF!$B$7:$F$150,5,0)</f>
        <v>PELAKSANA SUB BIDANG PENILAIAN DAN PENETAPAN PBB DAN BPHTB</v>
      </c>
      <c r="F132" s="21"/>
      <c r="G132" s="21"/>
    </row>
    <row r="133" spans="1:7" ht="22.5" x14ac:dyDescent="0.25">
      <c r="A133" s="17">
        <f t="shared" si="0"/>
        <v>100</v>
      </c>
      <c r="B133" s="17" t="str">
        <f>VLOOKUP(C133,[1]NOMINATIF!$B$7:$C$414,2,0)</f>
        <v>EDISON MAY</v>
      </c>
      <c r="C133" s="21" t="s">
        <v>114</v>
      </c>
      <c r="D133" s="19" t="str">
        <f>VLOOKUP(C133,[1]NOMINATIF!$B$7:$D$132,3,0)</f>
        <v>PPPK/GOL. V</v>
      </c>
      <c r="E133" s="20" t="str">
        <f>VLOOKUP(C133,[1]NOMINATIF!$B$7:$F$150,5,0)</f>
        <v>PELAKSANA SUB BIDANG PENAGIHAN RESTITUSI PBB DAN BPHTB</v>
      </c>
      <c r="F133" s="21"/>
      <c r="G133" s="21"/>
    </row>
    <row r="134" spans="1:7" ht="22.5" x14ac:dyDescent="0.25">
      <c r="A134" s="17">
        <v>101</v>
      </c>
      <c r="B134" s="17" t="str">
        <f>VLOOKUP(C134,[1]NOMINATIF!$B$7:$C$414,2,0)</f>
        <v>ANDI WIJANARKO</v>
      </c>
      <c r="C134" s="21" t="s">
        <v>115</v>
      </c>
      <c r="D134" s="19" t="str">
        <f>VLOOKUP(C134,[1]NOMINATIF!$B$7:$D$132,3,0)</f>
        <v>PPPK/GOL. V</v>
      </c>
      <c r="E134" s="20" t="str">
        <f>VLOOKUP(C134,[1]NOMINATIF!$B$7:$F$150,5,0)</f>
        <v>PELAKSANA SUB BIDANG PENAGIHAN RESTITUSI PBB DAN BPHTB</v>
      </c>
      <c r="F134" s="21"/>
      <c r="G134" s="21"/>
    </row>
    <row r="135" spans="1:7" ht="22.5" x14ac:dyDescent="0.25">
      <c r="A135" s="17">
        <f t="shared" ref="A135" si="2">A134+1</f>
        <v>102</v>
      </c>
      <c r="B135" s="17" t="str">
        <f>VLOOKUP(C135,[1]NOMINATIF!$B$7:$C$414,2,0)</f>
        <v>YANCE REHENA</v>
      </c>
      <c r="C135" s="21" t="s">
        <v>116</v>
      </c>
      <c r="D135" s="19" t="str">
        <f>VLOOKUP(C135,[1]NOMINATIF!$B$7:$D$132,3,0)</f>
        <v>PPPK/GOL. V</v>
      </c>
      <c r="E135" s="20" t="str">
        <f>VLOOKUP(C135,[1]NOMINATIF!$B$7:$F$150,5,0)</f>
        <v>PELAKSANA SUB BIDANG PENDATAAN DAN PENDAFTARAN PBB DAN BPHTB</v>
      </c>
      <c r="F135" s="21"/>
      <c r="G135" s="21"/>
    </row>
    <row r="136" spans="1:7" ht="22.5" x14ac:dyDescent="0.25">
      <c r="A136" s="17">
        <f t="shared" si="0"/>
        <v>103</v>
      </c>
      <c r="B136" s="17" t="str">
        <f>VLOOKUP(C136,[1]NOMINATIF!$B$7:$C$414,2,0)</f>
        <v>CARL GUSTAF NAAMAN GIAY</v>
      </c>
      <c r="C136" s="21" t="s">
        <v>117</v>
      </c>
      <c r="D136" s="19" t="str">
        <f>VLOOKUP(C136,[1]NOMINATIF!$B$7:$D$132,3,0)</f>
        <v>PPPK/GOL. V</v>
      </c>
      <c r="E136" s="20" t="str">
        <f>VLOOKUP(C136,[1]NOMINATIF!$B$7:$F$150,5,0)</f>
        <v>PELAKSANA SUB BIDANG PENAGIHAN RESTITUSI PBB DAN BPHTB</v>
      </c>
      <c r="F136" s="21"/>
      <c r="G136" s="21"/>
    </row>
    <row r="137" spans="1:7" ht="22.5" x14ac:dyDescent="0.25">
      <c r="A137" s="17">
        <v>104</v>
      </c>
      <c r="B137" s="17" t="str">
        <f>VLOOKUP(C137,[1]NOMINATIF!$B$7:$C$414,2,0)</f>
        <v>CINTHIA REGINA RINA WOMSIWOR</v>
      </c>
      <c r="C137" s="21" t="s">
        <v>118</v>
      </c>
      <c r="D137" s="19" t="str">
        <f>VLOOKUP(C137,[1]NOMINATIF!$B$7:$D$132,3,0)</f>
        <v>PPPK/GOL. V</v>
      </c>
      <c r="E137" s="20" t="str">
        <f>VLOOKUP(C137,[1]NOMINATIF!$B$7:$F$150,5,0)</f>
        <v>PELAKSANA SUB BIDANG PENAGIHAN RESTITUSI PBB DAN BPHTB</v>
      </c>
      <c r="F137" s="21"/>
      <c r="G137" s="21"/>
    </row>
    <row r="138" spans="1:7" ht="22.5" x14ac:dyDescent="0.25">
      <c r="A138" s="17">
        <f t="shared" ref="A138" si="3">A137+1</f>
        <v>105</v>
      </c>
      <c r="B138" s="17" t="str">
        <f>VLOOKUP(C138,[1]NOMINATIF!$B$7:$C$414,2,0)</f>
        <v>ARYOS ABRAHAM RITIAUW</v>
      </c>
      <c r="C138" s="21" t="s">
        <v>119</v>
      </c>
      <c r="D138" s="19" t="str">
        <f>VLOOKUP(C138,[1]NOMINATIF!$B$7:$D$132,3,0)</f>
        <v>PPPK/GOL. V</v>
      </c>
      <c r="E138" s="20" t="str">
        <f>VLOOKUP(C138,[1]NOMINATIF!$B$7:$F$150,5,0)</f>
        <v>PELAKSANA SUB BIDANG PENDATAAN DAN PENDAFTARAN PBB DAN BPHTB</v>
      </c>
      <c r="F138" s="21"/>
      <c r="G138" s="21"/>
    </row>
    <row r="139" spans="1:7" x14ac:dyDescent="0.25">
      <c r="A139" s="1"/>
      <c r="B139" s="1"/>
      <c r="C139" s="35"/>
      <c r="D139" s="3"/>
      <c r="E139" s="4"/>
      <c r="F139" s="2"/>
      <c r="G139" s="2"/>
    </row>
    <row r="140" spans="1:7" ht="24" x14ac:dyDescent="0.25">
      <c r="A140" s="36" t="s">
        <v>120</v>
      </c>
      <c r="B140" s="37"/>
      <c r="C140" s="37"/>
      <c r="D140" s="37"/>
      <c r="E140" s="37"/>
      <c r="F140" s="37"/>
      <c r="G140" s="38"/>
    </row>
    <row r="141" spans="1:7" ht="15.75" x14ac:dyDescent="0.25">
      <c r="A141" s="13" t="s">
        <v>3</v>
      </c>
      <c r="B141" s="14" t="s">
        <v>4</v>
      </c>
      <c r="C141" s="14" t="s">
        <v>5</v>
      </c>
      <c r="D141" s="16" t="s">
        <v>6</v>
      </c>
      <c r="E141" s="16" t="s">
        <v>7</v>
      </c>
      <c r="F141" s="14" t="s">
        <v>8</v>
      </c>
      <c r="G141" s="14" t="s">
        <v>9</v>
      </c>
    </row>
    <row r="142" spans="1:7" ht="22.5" x14ac:dyDescent="0.25">
      <c r="A142" s="17">
        <f>A138+1</f>
        <v>106</v>
      </c>
      <c r="B142" s="17" t="str">
        <f>VLOOKUP(C142,[1]NOMINATIF!$B$7:$C$414,2,0)</f>
        <v>LUCIA BENEDICTA REYAAN, S.IP</v>
      </c>
      <c r="C142" s="19" t="s">
        <v>121</v>
      </c>
      <c r="D142" s="19" t="str">
        <f>VLOOKUP(C142,[1]NOMINATIF!$B$7:$D$132,3,0)</f>
        <v>Penata Tingkat I (III/d)</v>
      </c>
      <c r="E142" s="20" t="str">
        <f>VLOOKUP(C142,[1]NOMINATIF!$B$7:$F$150,5,0)</f>
        <v>KEPALA BIDANG PEMBUKUAN DAN PELAPORAN</v>
      </c>
      <c r="F142" s="21"/>
      <c r="G142" s="21"/>
    </row>
    <row r="143" spans="1:7" x14ac:dyDescent="0.25">
      <c r="A143" s="17">
        <f>A142+1</f>
        <v>107</v>
      </c>
      <c r="B143" s="17" t="str">
        <f>VLOOKUP(C143,[1]NOMINATIF!$B$7:$C$414,2,0)</f>
        <v>SELSIUS  GINUNY, A.Md. S.Sos.</v>
      </c>
      <c r="C143" s="19" t="s">
        <v>122</v>
      </c>
      <c r="D143" s="19" t="str">
        <f>VLOOKUP(C143,[1]NOMINATIF!$B$7:$D$132,3,0)</f>
        <v>Penata Tingkat I (III/d)</v>
      </c>
      <c r="E143" s="20" t="str">
        <f>VLOOKUP(C143,[1]NOMINATIF!$B$7:$F$150,5,0)</f>
        <v>KEPALA SUB BIDANG PENAGIHAN</v>
      </c>
      <c r="F143" s="21"/>
      <c r="G143" s="21"/>
    </row>
    <row r="144" spans="1:7" ht="22.5" x14ac:dyDescent="0.25">
      <c r="A144" s="17">
        <f t="shared" ref="A144:A158" si="4">A143+1</f>
        <v>108</v>
      </c>
      <c r="B144" s="17" t="str">
        <f>VLOOKUP(C144,[1]NOMINATIF!$B$7:$C$414,2,0)</f>
        <v>CAHYO WULANG, S.Kom.,M.Si</v>
      </c>
      <c r="C144" s="19" t="s">
        <v>123</v>
      </c>
      <c r="D144" s="19" t="str">
        <f>VLOOKUP(C144,[1]NOMINATIF!$B$7:$D$132,3,0)</f>
        <v>Penata Tingkat I (III/d)</v>
      </c>
      <c r="E144" s="20" t="str">
        <f>VLOOKUP(C144,[1]NOMINATIF!$B$7:$F$150,5,0)</f>
        <v>KEPALA SUB BIDANG PEMERIKSAAN DAN VERIFIKASI</v>
      </c>
      <c r="F144" s="21"/>
      <c r="G144" s="21"/>
    </row>
    <row r="145" spans="1:7" x14ac:dyDescent="0.25">
      <c r="A145" s="17">
        <v>109</v>
      </c>
      <c r="B145" s="17" t="str">
        <f>VLOOKUP(C145,[1]NOMINATIF!$B$7:$C$414,2,0)</f>
        <v>ROMI PESIRERON, S.E.,M.M</v>
      </c>
      <c r="C145" s="19" t="s">
        <v>124</v>
      </c>
      <c r="D145" s="19" t="str">
        <f>VLOOKUP(C145,[1]NOMINATIF!$B$7:$D$132,3,0)</f>
        <v>Penata Tingkat I (III/d)</v>
      </c>
      <c r="E145" s="20" t="str">
        <f>VLOOKUP(C145,[1]NOMINATIF!$B$7:$F$150,5,0)</f>
        <v>PELAKSANA SUB BIDANG PENAGIHAN</v>
      </c>
      <c r="F145" s="21"/>
      <c r="G145" s="21"/>
    </row>
    <row r="146" spans="1:7" x14ac:dyDescent="0.25">
      <c r="A146" s="17">
        <f t="shared" ref="A146" si="5">A145+1</f>
        <v>110</v>
      </c>
      <c r="B146" s="17" t="str">
        <f>VLOOKUP(C146,[1]NOMINATIF!$B$7:$C$414,2,0)</f>
        <v>HABEL NGARE, S.E</v>
      </c>
      <c r="C146" s="19" t="s">
        <v>125</v>
      </c>
      <c r="D146" s="19" t="str">
        <f>VLOOKUP(C146,[1]NOMINATIF!$B$7:$D$132,3,0)</f>
        <v>Penata Tingkat I (III/d)</v>
      </c>
      <c r="E146" s="20" t="str">
        <f>VLOOKUP(C146,[1]NOMINATIF!$B$7:$F$150,5,0)</f>
        <v>PELAKSANA SUB BIDANG PENAGIHAN</v>
      </c>
      <c r="F146" s="21"/>
      <c r="G146" s="21"/>
    </row>
    <row r="147" spans="1:7" ht="22.5" x14ac:dyDescent="0.25">
      <c r="A147" s="17">
        <f t="shared" si="4"/>
        <v>111</v>
      </c>
      <c r="B147" s="17" t="str">
        <f>VLOOKUP(C147,[1]NOMINATIF!$B$7:$C$414,2,0)</f>
        <v>ZARAI  GWIJANGGE, A.Md</v>
      </c>
      <c r="C147" s="19" t="s">
        <v>126</v>
      </c>
      <c r="D147" s="19" t="str">
        <f>VLOOKUP(C147,[1]NOMINATIF!$B$7:$D$132,3,0)</f>
        <v>Penata (III/c)</v>
      </c>
      <c r="E147" s="20" t="str">
        <f>VLOOKUP(C147,[1]NOMINATIF!$B$7:$F$150,5,0)</f>
        <v>PELAKSANA SUB BIDANG PEMBUKUAN DAN PELAPORAN</v>
      </c>
      <c r="F147" s="21"/>
      <c r="G147" s="21"/>
    </row>
    <row r="148" spans="1:7" ht="27" x14ac:dyDescent="0.25">
      <c r="A148" s="17">
        <f t="shared" si="4"/>
        <v>112</v>
      </c>
      <c r="B148" s="17" t="str">
        <f>VLOOKUP(C148,[1]NOMINATIF!$B$7:$C$414,2,0)</f>
        <v>GERSON KEMESFLE,S.E</v>
      </c>
      <c r="C148" s="19" t="s">
        <v>127</v>
      </c>
      <c r="D148" s="19" t="str">
        <f>VLOOKUP(C148,[1]NOMINATIF!$B$7:$D$132,3,0)</f>
        <v>Penata Muda Tingkat I (III/b)</v>
      </c>
      <c r="E148" s="20" t="str">
        <f>VLOOKUP(C148,[1]NOMINATIF!$B$7:$F$150,5,0)</f>
        <v>PELAKSANA SUB BIDANG PENAGIHAN</v>
      </c>
      <c r="F148" s="21"/>
      <c r="G148" s="21"/>
    </row>
    <row r="149" spans="1:7" ht="27" x14ac:dyDescent="0.25">
      <c r="A149" s="17">
        <f t="shared" si="4"/>
        <v>113</v>
      </c>
      <c r="B149" s="17" t="str">
        <f>VLOOKUP(C149,[1]NOMINATIF!$B$7:$C$414,2,0)</f>
        <v>HERNIA SANGNGIAN, S.E</v>
      </c>
      <c r="C149" s="19" t="s">
        <v>128</v>
      </c>
      <c r="D149" s="19" t="str">
        <f>VLOOKUP(C149,[1]NOMINATIF!$B$7:$D$132,3,0)</f>
        <v>Penata Muda Tingkat I (III/b)</v>
      </c>
      <c r="E149" s="20" t="str">
        <f>VLOOKUP(C149,[1]NOMINATIF!$B$7:$F$150,5,0)</f>
        <v>PELAKSANA SUB BIDANG PENAGIHAN</v>
      </c>
      <c r="F149" s="21"/>
      <c r="G149" s="21"/>
    </row>
    <row r="150" spans="1:7" ht="27" x14ac:dyDescent="0.25">
      <c r="A150" s="17">
        <f t="shared" si="4"/>
        <v>114</v>
      </c>
      <c r="B150" s="17" t="str">
        <f>VLOOKUP(C150,[1]NOMINATIF!$B$7:$C$414,2,0)</f>
        <v>MARIOLIN WORABAY, S.E</v>
      </c>
      <c r="C150" s="19" t="s">
        <v>129</v>
      </c>
      <c r="D150" s="19" t="str">
        <f>VLOOKUP(C150,[1]NOMINATIF!$B$7:$D$132,3,0)</f>
        <v>Penata Muda Tingkat I (III/b)</v>
      </c>
      <c r="E150" s="20" t="str">
        <f>VLOOKUP(C150,[1]NOMINATIF!$B$7:$F$150,5,0)</f>
        <v>PELAKSANA SUB BIDANG PEMBUKUAN DAN PELAPORAN</v>
      </c>
      <c r="F150" s="21"/>
      <c r="G150" s="21"/>
    </row>
    <row r="151" spans="1:7" ht="27" x14ac:dyDescent="0.25">
      <c r="A151" s="17">
        <f t="shared" si="4"/>
        <v>115</v>
      </c>
      <c r="B151" s="17" t="str">
        <f>VLOOKUP(C151,[1]NOMINATIF!$B$7:$C$414,2,0)</f>
        <v>ARISMAN DEMIANUS KARETH, S.E</v>
      </c>
      <c r="C151" s="19" t="s">
        <v>130</v>
      </c>
      <c r="D151" s="19" t="str">
        <f>VLOOKUP(C151,[1]NOMINATIF!$B$7:$D$132,3,0)</f>
        <v>Penata Muda Tingkat I (III/b)</v>
      </c>
      <c r="E151" s="20" t="str">
        <f>VLOOKUP(C151,[1]NOMINATIF!$B$7:$F$150,5,0)</f>
        <v>PELAKSANA SUB BIDANG PENAGIHAN</v>
      </c>
      <c r="F151" s="21"/>
      <c r="G151" s="21"/>
    </row>
    <row r="152" spans="1:7" ht="22.5" x14ac:dyDescent="0.25">
      <c r="A152" s="17">
        <f t="shared" si="4"/>
        <v>116</v>
      </c>
      <c r="B152" s="17" t="str">
        <f>VLOOKUP(C152,[1]NOMINATIF!$B$7:$C$414,2,0)</f>
        <v>TRI SULISTIARINI BANA, S.E</v>
      </c>
      <c r="C152" s="19" t="s">
        <v>131</v>
      </c>
      <c r="D152" s="19" t="str">
        <f>VLOOKUP(C152,[1]NOMINATIF!$B$7:$D$132,3,0)</f>
        <v>Penata Muda (III/a)</v>
      </c>
      <c r="E152" s="20" t="str">
        <f>VLOOKUP(C152,[1]NOMINATIF!$B$7:$F$150,5,0)</f>
        <v>PELAKSANA SUB BIDANG PEMBUKUAN DAN PELAPORAN</v>
      </c>
      <c r="F152" s="21"/>
      <c r="G152" s="21"/>
    </row>
    <row r="153" spans="1:7" ht="22.5" x14ac:dyDescent="0.25">
      <c r="A153" s="17">
        <f t="shared" si="4"/>
        <v>117</v>
      </c>
      <c r="B153" s="17" t="str">
        <f>VLOOKUP(C153,[1]NOMINATIF!$B$7:$C$414,2,0)</f>
        <v>MINCE KETERINA RITIAUW, S.E</v>
      </c>
      <c r="C153" s="19" t="s">
        <v>132</v>
      </c>
      <c r="D153" s="19" t="str">
        <f>VLOOKUP(C153,[1]NOMINATIF!$B$7:$D$132,3,0)</f>
        <v>Penata Muda (III/a)</v>
      </c>
      <c r="E153" s="20" t="str">
        <f>VLOOKUP(C153,[1]NOMINATIF!$B$7:$F$150,5,0)</f>
        <v xml:space="preserve">PELAKSANA SUB BIDANG PEMBUKUAN DAN PELAPORAN </v>
      </c>
      <c r="F153" s="21"/>
      <c r="G153" s="21"/>
    </row>
    <row r="154" spans="1:7" ht="22.5" x14ac:dyDescent="0.25">
      <c r="A154" s="17">
        <f t="shared" si="4"/>
        <v>118</v>
      </c>
      <c r="B154" s="17" t="str">
        <f>VLOOKUP(C154,[1]NOMINATIF!$B$7:$C$414,2,0)</f>
        <v>JUWARIYAH, S.E</v>
      </c>
      <c r="C154" s="19" t="s">
        <v>133</v>
      </c>
      <c r="D154" s="19" t="str">
        <f>VLOOKUP(C154,[1]NOMINATIF!$B$7:$D$132,3,0)</f>
        <v>Penata Muda (III/a)</v>
      </c>
      <c r="E154" s="20" t="str">
        <f>VLOOKUP(C154,[1]NOMINATIF!$B$7:$F$150,5,0)</f>
        <v>PELAKSAN SUB BIDANG PEMERIKSAAN DAN VERIFIKASI</v>
      </c>
      <c r="F154" s="21"/>
      <c r="G154" s="21"/>
    </row>
    <row r="155" spans="1:7" x14ac:dyDescent="0.25">
      <c r="A155" s="17">
        <f t="shared" si="4"/>
        <v>119</v>
      </c>
      <c r="B155" s="17" t="str">
        <f>VLOOKUP(C155,[1]NOMINATIF!$B$7:$C$414,2,0)</f>
        <v>HENDRIANTO ISHAK KONDENG, S.E</v>
      </c>
      <c r="C155" s="19" t="s">
        <v>134</v>
      </c>
      <c r="D155" s="19" t="str">
        <f>VLOOKUP(C155,[1]NOMINATIF!$B$7:$D$132,3,0)</f>
        <v>Penata Muda (III/a)</v>
      </c>
      <c r="E155" s="20" t="str">
        <f>VLOOKUP(C155,[1]NOMINATIF!$B$7:$F$150,5,0)</f>
        <v>PELAKSANA SUB BIDANG PENAGIHAN</v>
      </c>
      <c r="F155" s="21"/>
      <c r="G155" s="21"/>
    </row>
    <row r="156" spans="1:7" ht="22.5" x14ac:dyDescent="0.25">
      <c r="A156" s="17">
        <f t="shared" si="4"/>
        <v>120</v>
      </c>
      <c r="B156" s="17" t="str">
        <f>VLOOKUP(C156,[1]NOMINATIF!$B$7:$C$414,2,0)</f>
        <v>MERLYN LAKASA, S.E</v>
      </c>
      <c r="C156" s="19" t="s">
        <v>135</v>
      </c>
      <c r="D156" s="19" t="str">
        <f>VLOOKUP(C156,[1]NOMINATIF!$B$7:$D$132,3,0)</f>
        <v>CPNS (III/a)</v>
      </c>
      <c r="E156" s="20" t="str">
        <f>VLOOKUP(C156,[1]NOMINATIF!$B$7:$F$150,5,0)</f>
        <v>PELAKSANA SUB BIDANG PEMBUKUAN DAN PELAPORAN</v>
      </c>
      <c r="F156" s="21"/>
      <c r="G156" s="21"/>
    </row>
    <row r="157" spans="1:7" x14ac:dyDescent="0.25">
      <c r="A157" s="17">
        <f t="shared" si="4"/>
        <v>121</v>
      </c>
      <c r="B157" s="17" t="str">
        <f>VLOOKUP(C157,[1]NOMINATIF!$B$7:$C$414,2,0)</f>
        <v>NATALIA SETITIT, S.Pd</v>
      </c>
      <c r="C157" s="19" t="s">
        <v>136</v>
      </c>
      <c r="D157" s="19" t="str">
        <f>VLOOKUP(C157,[1]NOMINATIF!$B$7:$D$132,3,0)</f>
        <v>PPPK/GOL. IX</v>
      </c>
      <c r="E157" s="20" t="str">
        <f>VLOOKUP(C157,[1]NOMINATIF!$B$7:$F$150,5,0)</f>
        <v>SUB BIDANG PEMERIKSAAN DAN VERIFIKASI</v>
      </c>
      <c r="F157" s="21"/>
      <c r="G157" s="21"/>
    </row>
    <row r="158" spans="1:7" x14ac:dyDescent="0.25">
      <c r="A158" s="17">
        <f t="shared" si="4"/>
        <v>122</v>
      </c>
      <c r="B158" s="17" t="str">
        <f>VLOOKUP(C158,[1]NOMINATIF!$B$7:$C$414,2,0)</f>
        <v>IMANUEL PAULUS SAMPEPADANG, S.E</v>
      </c>
      <c r="C158" s="19" t="s">
        <v>137</v>
      </c>
      <c r="D158" s="19" t="str">
        <f>VLOOKUP(C158,[1]NOMINATIF!$B$7:$D$132,3,0)</f>
        <v>PPPK/GOL. IX</v>
      </c>
      <c r="E158" s="20" t="str">
        <f>VLOOKUP(C158,[1]NOMINATIF!$B$7:$F$150,5,0)</f>
        <v>PELAKSANA SUB BIDANG PENAGIHAN</v>
      </c>
      <c r="F158" s="21"/>
      <c r="G158" s="21"/>
    </row>
    <row r="159" spans="1:7" ht="22.5" x14ac:dyDescent="0.25">
      <c r="A159" s="17">
        <v>123</v>
      </c>
      <c r="B159" s="17" t="str">
        <f>VLOOKUP(C159,[1]NOMINATIF!$B$7:$C$414,2,0)</f>
        <v>ANSILIA SILITUBUN,S.E</v>
      </c>
      <c r="C159" s="19" t="s">
        <v>138</v>
      </c>
      <c r="D159" s="19" t="str">
        <f>VLOOKUP(C159,[1]NOMINATIF!$B$7:$D$132,3,0)</f>
        <v>PPPK/GOL. IX</v>
      </c>
      <c r="E159" s="20" t="str">
        <f>VLOOKUP(C159,[1]NOMINATIF!$B$7:$F$150,5,0)</f>
        <v>PELAKSANA SUB BIDANG PEMBUKUAN DAN PELAPORAN</v>
      </c>
      <c r="F159" s="21"/>
      <c r="G159" s="21"/>
    </row>
    <row r="160" spans="1:7" x14ac:dyDescent="0.25">
      <c r="A160" s="17">
        <f>A159+1</f>
        <v>124</v>
      </c>
      <c r="B160" s="17" t="str">
        <f>VLOOKUP(C160,[1]NOMINATIF!$B$7:$C$414,2,0)</f>
        <v>OBETH MARANI, S.Si</v>
      </c>
      <c r="C160" s="19" t="s">
        <v>139</v>
      </c>
      <c r="D160" s="19" t="str">
        <f>VLOOKUP(C160,[1]NOMINATIF!$B$7:$D$132,3,0)</f>
        <v>PPPK/GOL. IX</v>
      </c>
      <c r="E160" s="20" t="str">
        <f>VLOOKUP(C160,[1]NOMINATIF!$B$7:$F$150,5,0)</f>
        <v>PELAKSANA SUB BIDANG PENAGIHAN</v>
      </c>
      <c r="F160" s="21"/>
      <c r="G160" s="21"/>
    </row>
    <row r="161" spans="1:7" x14ac:dyDescent="0.25">
      <c r="A161" s="17">
        <f t="shared" ref="A161:A162" si="6">A160+1</f>
        <v>125</v>
      </c>
      <c r="B161" s="17" t="str">
        <f>VLOOKUP(C161,[1]NOMINATIF!$B$7:$C$414,2,0)</f>
        <v>OKTOVIANUS KOCU, S.I.P</v>
      </c>
      <c r="C161" s="19" t="s">
        <v>140</v>
      </c>
      <c r="D161" s="19" t="str">
        <f>VLOOKUP(C161,[1]NOMINATIF!$B$7:$D$132,3,0)</f>
        <v>PPPK/GOL. IX</v>
      </c>
      <c r="E161" s="20" t="str">
        <f>VLOOKUP(C161,[1]NOMINATIF!$B$7:$F$150,5,0)</f>
        <v>PELAKSANA SUB BAGIAN PENAGIHAN</v>
      </c>
      <c r="F161" s="21"/>
      <c r="G161" s="21"/>
    </row>
    <row r="162" spans="1:7" ht="22.5" x14ac:dyDescent="0.25">
      <c r="A162" s="17">
        <f t="shared" si="6"/>
        <v>126</v>
      </c>
      <c r="B162" s="17" t="str">
        <f>VLOOKUP(C162,[1]NOMINATIF!$B$7:$C$414,2,0)</f>
        <v>JEPRIN SOKKO</v>
      </c>
      <c r="C162" s="19" t="s">
        <v>141</v>
      </c>
      <c r="D162" s="19" t="str">
        <f>VLOOKUP(C162,[1]NOMINATIF!$B$7:$D$132,3,0)</f>
        <v>PPPK/GOL. VII</v>
      </c>
      <c r="E162" s="20" t="str">
        <f>VLOOKUP(C162,[1]NOMINATIF!$B$7:$F$150,5,0)</f>
        <v>PELAKSANA SUB BIDANG PEMERIKSAAN DAN VERIFIKASI</v>
      </c>
      <c r="F162" s="21"/>
      <c r="G162" s="21"/>
    </row>
    <row r="163" spans="1:7" x14ac:dyDescent="0.25">
      <c r="A163" s="1"/>
      <c r="B163" s="1"/>
      <c r="C163" s="2"/>
      <c r="D163" s="3"/>
      <c r="E163" s="4"/>
      <c r="F163" s="2"/>
      <c r="G163" s="2"/>
    </row>
    <row r="164" spans="1:7" x14ac:dyDescent="0.25">
      <c r="A164" s="1"/>
      <c r="B164" s="1"/>
      <c r="C164" s="2"/>
      <c r="D164" s="3"/>
      <c r="E164" s="4"/>
      <c r="F164" s="2"/>
      <c r="G164" s="2"/>
    </row>
    <row r="165" spans="1:7" x14ac:dyDescent="0.25">
      <c r="A165" s="1"/>
      <c r="B165" s="39" t="s">
        <v>11</v>
      </c>
      <c r="C165" s="39"/>
      <c r="D165" s="40"/>
      <c r="E165" s="40" t="s">
        <v>13</v>
      </c>
      <c r="F165" s="40"/>
      <c r="G165" s="2"/>
    </row>
    <row r="166" spans="1:7" x14ac:dyDescent="0.25">
      <c r="A166" s="1"/>
      <c r="B166" s="39"/>
      <c r="C166" s="39"/>
      <c r="D166" s="40"/>
      <c r="E166" s="40"/>
      <c r="F166" s="40"/>
      <c r="G166" s="2"/>
    </row>
    <row r="167" spans="1:7" x14ac:dyDescent="0.25">
      <c r="A167" s="1"/>
      <c r="B167" s="39"/>
      <c r="C167" s="39"/>
      <c r="D167" s="40"/>
      <c r="E167" s="40"/>
      <c r="F167" s="40"/>
      <c r="G167" s="2"/>
    </row>
    <row r="168" spans="1:7" x14ac:dyDescent="0.25">
      <c r="A168" s="1"/>
      <c r="B168" s="39"/>
      <c r="C168" s="39"/>
      <c r="D168" s="40"/>
      <c r="E168" s="40"/>
      <c r="F168" s="40"/>
      <c r="G168" s="2"/>
    </row>
    <row r="169" spans="1:7" x14ac:dyDescent="0.25">
      <c r="A169" s="41"/>
      <c r="B169" s="39" t="str">
        <f>B13</f>
        <v>Dr.Drs. DWI CHOLIFAH, Ap., M.Si</v>
      </c>
      <c r="C169" s="39"/>
      <c r="D169" s="42"/>
      <c r="E169" s="42" t="str">
        <f>B14</f>
        <v>HENRIKUS SETITIT, S.Sos., M.Si</v>
      </c>
      <c r="F169" s="42"/>
      <c r="G169" s="43"/>
    </row>
    <row r="170" spans="1:7" x14ac:dyDescent="0.25">
      <c r="A170" s="1"/>
      <c r="B170" s="39" t="str">
        <f>D13</f>
        <v>Pembina Utama Muda (IV/c)</v>
      </c>
      <c r="C170" s="39"/>
      <c r="D170" s="40"/>
      <c r="E170" s="40" t="str">
        <f>D13</f>
        <v>Pembina Utama Muda (IV/c)</v>
      </c>
      <c r="F170" s="40"/>
      <c r="G170" s="2"/>
    </row>
    <row r="171" spans="1:7" x14ac:dyDescent="0.25">
      <c r="A171" s="1"/>
      <c r="B171" s="39" t="str">
        <f>"NIP."&amp;C13</f>
        <v>NIP.19740109 199311 1 002</v>
      </c>
      <c r="C171" s="39"/>
      <c r="D171" s="40"/>
      <c r="E171" s="39" t="str">
        <f>"NIP."&amp;C14</f>
        <v>NIP.19681210 200605 1 001</v>
      </c>
      <c r="F171" s="39"/>
      <c r="G17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Kepeg Bapenda</dc:creator>
  <cp:lastModifiedBy>Kepeg Bapenda</cp:lastModifiedBy>
  <dcterms:created xsi:type="dcterms:W3CDTF">2026-05-21T02:39:05Z</dcterms:created>
  <dcterms:modified xsi:type="dcterms:W3CDTF">2026-05-21T02:40:45Z</dcterms:modified>
</cp:coreProperties>
</file>